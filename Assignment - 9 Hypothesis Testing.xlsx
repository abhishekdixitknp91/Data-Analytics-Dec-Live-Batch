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RABDH\Downloads\"/>
    </mc:Choice>
  </mc:AlternateContent>
  <xr:revisionPtr revIDLastSave="0" documentId="8_{A5A74BCF-43B2-4E40-ABFF-9E1F3E1C2D77}" xr6:coauthVersionLast="47" xr6:coauthVersionMax="47" xr10:uidLastSave="{00000000-0000-0000-0000-000000000000}"/>
  <bookViews>
    <workbookView xWindow="-108" yWindow="-108" windowWidth="23256" windowHeight="12456" activeTab="1" xr2:uid="{B9D9D65F-71D1-4787-AF48-EA5D15EE1C37}"/>
  </bookViews>
  <sheets>
    <sheet name="Sol 7" sheetId="1" r:id="rId1"/>
    <sheet name="Sol 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D15" i="1"/>
  <c r="D14" i="1"/>
  <c r="D7" i="1"/>
  <c r="D8" i="1"/>
  <c r="D9" i="1"/>
  <c r="D10" i="1"/>
  <c r="D11" i="1"/>
  <c r="D6" i="1"/>
</calcChain>
</file>

<file path=xl/sharedStrings.xml><?xml version="1.0" encoding="utf-8"?>
<sst xmlns="http://schemas.openxmlformats.org/spreadsheetml/2006/main" count="91" uniqueCount="75">
  <si>
    <t>Employee</t>
  </si>
  <si>
    <t>Before</t>
  </si>
  <si>
    <t>After</t>
  </si>
  <si>
    <t>Difference</t>
  </si>
  <si>
    <t>Question 7: The productivity of 6 employees was measured before and after a training program.At α = 0.05, test if the training improved productivity.</t>
  </si>
  <si>
    <t xml:space="preserve">Step 1: </t>
  </si>
  <si>
    <t>Sample Size (n) =6</t>
  </si>
  <si>
    <t xml:space="preserve">Sample mean = </t>
  </si>
  <si>
    <t>Significance</t>
  </si>
  <si>
    <t xml:space="preserve">Standard Deviation </t>
  </si>
  <si>
    <t>Step 2:</t>
  </si>
  <si>
    <t>Here, n&lt; Sample size</t>
  </si>
  <si>
    <t>So, we apply T test</t>
  </si>
  <si>
    <t>Step 3:</t>
  </si>
  <si>
    <t>null hypothesis = Productivity is not improved</t>
  </si>
  <si>
    <t>Alternative Hypothesis = Training improves Productivity</t>
  </si>
  <si>
    <t>Step 4:</t>
  </si>
  <si>
    <t>Calculate t</t>
  </si>
  <si>
    <t>Step 5:</t>
  </si>
  <si>
    <t>df = n -1</t>
  </si>
  <si>
    <t>α = 0.05</t>
  </si>
  <si>
    <r>
      <t>Critical t (one-tailed, df=5)</t>
    </r>
    <r>
      <rPr>
        <sz val="11"/>
        <color theme="1"/>
        <rFont val="Calibri"/>
        <family val="2"/>
        <scheme val="minor"/>
      </rPr>
      <t xml:space="preserve"> ≈ 2.015</t>
    </r>
  </si>
  <si>
    <t>Step 6:</t>
  </si>
  <si>
    <t>Compare</t>
  </si>
  <si>
    <t>Critical Value t &lt; Calculate t</t>
  </si>
  <si>
    <t>&lt;</t>
  </si>
  <si>
    <t>Step 7:</t>
  </si>
  <si>
    <t>Conclusion</t>
  </si>
  <si>
    <t>we reject null hypothesis</t>
  </si>
  <si>
    <t>We accept alternative hypothesis</t>
  </si>
  <si>
    <t>Therefore training improves Productive</t>
  </si>
  <si>
    <t>Question 8: A company wants to test if product preference is independent of gender,At α = 0.05, test independence</t>
  </si>
  <si>
    <t>Gender</t>
  </si>
  <si>
    <t>Product A</t>
  </si>
  <si>
    <t>Product B</t>
  </si>
  <si>
    <t>Total</t>
  </si>
  <si>
    <t>Male</t>
  </si>
  <si>
    <t>Female</t>
  </si>
  <si>
    <t>step1:</t>
  </si>
  <si>
    <t>frame hypothesis</t>
  </si>
  <si>
    <t>null</t>
  </si>
  <si>
    <t xml:space="preserve">no relation - both gender and product purchase are independent of each other. </t>
  </si>
  <si>
    <t>alternate</t>
  </si>
  <si>
    <t>relation exists</t>
  </si>
  <si>
    <t>step2:</t>
  </si>
  <si>
    <t>expected frequencies</t>
  </si>
  <si>
    <t>expected</t>
  </si>
  <si>
    <t>(row total * column total)/grand total</t>
  </si>
  <si>
    <t>Obesrved</t>
  </si>
  <si>
    <t>Expected</t>
  </si>
  <si>
    <t>step3</t>
  </si>
  <si>
    <t>chi square formula</t>
  </si>
  <si>
    <t>summation(o-e)^2/e</t>
  </si>
  <si>
    <t xml:space="preserve">where,  </t>
  </si>
  <si>
    <t>o</t>
  </si>
  <si>
    <t>observed</t>
  </si>
  <si>
    <t>e</t>
  </si>
  <si>
    <t>o-e</t>
  </si>
  <si>
    <t>(o-e)^2</t>
  </si>
  <si>
    <t>(o-e)^2/e</t>
  </si>
  <si>
    <t>MaleProduct A</t>
  </si>
  <si>
    <t>Male  Product B</t>
  </si>
  <si>
    <t>Female Product A</t>
  </si>
  <si>
    <t>Female Product B</t>
  </si>
  <si>
    <t>step4</t>
  </si>
  <si>
    <t>Degree of freedom</t>
  </si>
  <si>
    <t>df=(no.of row-1)*(no.of column-1)</t>
  </si>
  <si>
    <t>df</t>
  </si>
  <si>
    <t>Alpha</t>
  </si>
  <si>
    <t>Calculated value</t>
  </si>
  <si>
    <t>Critical value</t>
  </si>
  <si>
    <t>Df</t>
  </si>
  <si>
    <t>&gt;</t>
  </si>
  <si>
    <t xml:space="preserve">since cal val &gt; crit val, reject null hypothesis. </t>
  </si>
  <si>
    <t>accept alternate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</si>
</sst>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BDBDB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1" xfId="0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7" borderId="0" xfId="0" applyFont="1" applyFill="1" applyAlignment="1"/>
    <xf numFmtId="0" fontId="2" fillId="8" borderId="0" xfId="0" applyFont="1" applyFill="1" applyAlignment="1"/>
    <xf numFmtId="0" fontId="0" fillId="8" borderId="0" xfId="0" applyFill="1" applyAlignment="1"/>
    <xf numFmtId="0" fontId="0" fillId="7" borderId="0" xfId="0" applyFill="1" applyAlignment="1"/>
    <xf numFmtId="0" fontId="0" fillId="9" borderId="0" xfId="0" applyFill="1" applyAlignment="1"/>
    <xf numFmtId="0" fontId="2" fillId="9" borderId="0" xfId="0" applyFont="1" applyFill="1" applyAlignment="1"/>
    <xf numFmtId="0" fontId="0" fillId="10" borderId="0" xfId="0" applyFill="1" applyBorder="1" applyAlignment="1"/>
    <xf numFmtId="0" fontId="0" fillId="10" borderId="0" xfId="0" applyFill="1"/>
    <xf numFmtId="0" fontId="2" fillId="6" borderId="0" xfId="0" applyFont="1" applyFill="1"/>
    <xf numFmtId="0" fontId="0" fillId="0" borderId="0" xfId="0" applyFont="1"/>
    <xf numFmtId="0" fontId="2" fillId="7" borderId="0" xfId="0" applyFont="1" applyFill="1"/>
    <xf numFmtId="0" fontId="2" fillId="5" borderId="0" xfId="0" applyFont="1" applyFill="1"/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7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/>
    <xf numFmtId="0" fontId="5" fillId="0" borderId="4" xfId="0" applyFont="1" applyBorder="1"/>
    <xf numFmtId="0" fontId="5" fillId="13" borderId="1" xfId="0" applyFont="1" applyFill="1" applyBorder="1"/>
    <xf numFmtId="0" fontId="5" fillId="14" borderId="1" xfId="0" applyFont="1" applyFill="1" applyBorder="1"/>
    <xf numFmtId="0" fontId="5" fillId="0" borderId="1" xfId="0" applyFont="1" applyBorder="1"/>
    <xf numFmtId="0" fontId="5" fillId="15" borderId="1" xfId="0" applyFont="1" applyFill="1" applyBorder="1"/>
    <xf numFmtId="0" fontId="5" fillId="16" borderId="1" xfId="0" applyFont="1" applyFill="1" applyBorder="1"/>
    <xf numFmtId="0" fontId="5" fillId="17" borderId="1" xfId="0" applyFont="1" applyFill="1" applyBorder="1"/>
    <xf numFmtId="0" fontId="5" fillId="18" borderId="1" xfId="0" applyFont="1" applyFill="1" applyBorder="1"/>
    <xf numFmtId="0" fontId="7" fillId="0" borderId="2" xfId="0" applyFont="1" applyBorder="1"/>
    <xf numFmtId="0" fontId="5" fillId="20" borderId="5" xfId="0" applyFont="1" applyFill="1" applyBorder="1"/>
    <xf numFmtId="0" fontId="5" fillId="20" borderId="6" xfId="0" applyFont="1" applyFill="1" applyBorder="1"/>
    <xf numFmtId="0" fontId="5" fillId="20" borderId="7" xfId="0" applyFont="1" applyFill="1" applyBorder="1"/>
    <xf numFmtId="0" fontId="5" fillId="21" borderId="1" xfId="0" applyFont="1" applyFill="1" applyBorder="1"/>
    <xf numFmtId="0" fontId="5" fillId="12" borderId="0" xfId="0" applyFont="1" applyFill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12" borderId="5" xfId="0" applyFont="1" applyFill="1" applyBorder="1"/>
    <xf numFmtId="0" fontId="5" fillId="12" borderId="6" xfId="0" applyFont="1" applyFill="1" applyBorder="1"/>
    <xf numFmtId="0" fontId="5" fillId="12" borderId="7" xfId="0" applyFont="1" applyFill="1" applyBorder="1"/>
    <xf numFmtId="0" fontId="5" fillId="12" borderId="8" xfId="0" applyFont="1" applyFill="1" applyBorder="1"/>
    <xf numFmtId="0" fontId="5" fillId="12" borderId="9" xfId="0" applyFont="1" applyFill="1" applyBorder="1"/>
    <xf numFmtId="0" fontId="5" fillId="12" borderId="10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7" borderId="4" xfId="0" applyFont="1" applyFill="1" applyBorder="1"/>
    <xf numFmtId="0" fontId="6" fillId="7" borderId="2" xfId="0" applyFont="1" applyFill="1" applyBorder="1"/>
    <xf numFmtId="0" fontId="6" fillId="7" borderId="3" xfId="0" applyFont="1" applyFill="1" applyBorder="1"/>
    <xf numFmtId="0" fontId="6" fillId="7" borderId="4" xfId="0" applyFont="1" applyFill="1" applyBorder="1"/>
    <xf numFmtId="0" fontId="8" fillId="19" borderId="2" xfId="0" applyFont="1" applyFill="1" applyBorder="1"/>
    <xf numFmtId="0" fontId="8" fillId="19" borderId="3" xfId="0" applyFont="1" applyFill="1" applyBorder="1"/>
    <xf numFmtId="0" fontId="8" fillId="19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557C-B1A1-4812-8AF3-EEFCB74AA7EB}">
  <dimension ref="A1:R38"/>
  <sheetViews>
    <sheetView workbookViewId="0">
      <selection activeCell="C18" sqref="C18"/>
    </sheetView>
  </sheetViews>
  <sheetFormatPr defaultRowHeight="14.4" x14ac:dyDescent="0.3"/>
  <cols>
    <col min="1" max="1" width="11" bestFit="1" customWidth="1"/>
    <col min="2" max="2" width="7.88671875" bestFit="1" customWidth="1"/>
    <col min="4" max="4" width="12.21875" bestFit="1" customWidth="1"/>
    <col min="9" max="9" width="85.21875" customWidth="1"/>
  </cols>
  <sheetData>
    <row r="1" spans="1:18" ht="14.4" customHeight="1" x14ac:dyDescent="0.3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2"/>
      <c r="K1" s="1"/>
      <c r="L1" s="1"/>
      <c r="M1" s="1"/>
      <c r="N1" s="1"/>
      <c r="O1" s="1"/>
      <c r="P1" s="1"/>
      <c r="Q1" s="1"/>
      <c r="R1" s="1"/>
    </row>
    <row r="2" spans="1:18" x14ac:dyDescent="0.3">
      <c r="A2" s="10"/>
      <c r="B2" s="10"/>
      <c r="C2" s="10"/>
      <c r="D2" s="10"/>
      <c r="E2" s="10"/>
      <c r="F2" s="10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0"/>
      <c r="B3" s="10"/>
      <c r="C3" s="10"/>
      <c r="D3" s="10"/>
      <c r="E3" s="10"/>
      <c r="F3" s="10"/>
      <c r="G3" s="10"/>
      <c r="H3" s="10"/>
      <c r="I3" s="10"/>
      <c r="J3" s="1"/>
      <c r="K3" s="1"/>
      <c r="L3" s="1"/>
      <c r="M3" s="1"/>
      <c r="N3" s="1"/>
      <c r="O3" s="1"/>
      <c r="P3" s="1"/>
      <c r="Q3" s="1"/>
      <c r="R3" s="1"/>
    </row>
    <row r="5" spans="1:18" ht="18" x14ac:dyDescent="0.35">
      <c r="A5" s="5" t="s">
        <v>0</v>
      </c>
      <c r="B5" s="6" t="s">
        <v>1</v>
      </c>
      <c r="C5" s="7" t="s">
        <v>2</v>
      </c>
      <c r="D5" s="8" t="s">
        <v>3</v>
      </c>
    </row>
    <row r="6" spans="1:18" x14ac:dyDescent="0.3">
      <c r="A6" s="9">
        <v>1</v>
      </c>
      <c r="B6" s="9">
        <v>50</v>
      </c>
      <c r="C6" s="9">
        <v>55</v>
      </c>
      <c r="D6" s="9">
        <f>C6-B6</f>
        <v>5</v>
      </c>
    </row>
    <row r="7" spans="1:18" x14ac:dyDescent="0.3">
      <c r="A7" s="9">
        <v>2</v>
      </c>
      <c r="B7" s="9">
        <v>60</v>
      </c>
      <c r="C7" s="9">
        <v>65</v>
      </c>
      <c r="D7" s="9">
        <f t="shared" ref="D7:D11" si="0">C7-B7</f>
        <v>5</v>
      </c>
    </row>
    <row r="8" spans="1:18" x14ac:dyDescent="0.3">
      <c r="A8" s="9">
        <v>3</v>
      </c>
      <c r="B8" s="9">
        <v>58</v>
      </c>
      <c r="C8" s="9">
        <v>59</v>
      </c>
      <c r="D8" s="9">
        <f t="shared" si="0"/>
        <v>1</v>
      </c>
    </row>
    <row r="9" spans="1:18" x14ac:dyDescent="0.3">
      <c r="A9" s="9">
        <v>4</v>
      </c>
      <c r="B9" s="9">
        <v>55</v>
      </c>
      <c r="C9" s="9">
        <v>58</v>
      </c>
      <c r="D9" s="9">
        <f t="shared" si="0"/>
        <v>3</v>
      </c>
    </row>
    <row r="10" spans="1:18" x14ac:dyDescent="0.3">
      <c r="A10" s="9">
        <v>5</v>
      </c>
      <c r="B10" s="9">
        <v>62</v>
      </c>
      <c r="C10" s="9">
        <v>63</v>
      </c>
      <c r="D10" s="9">
        <f t="shared" si="0"/>
        <v>1</v>
      </c>
    </row>
    <row r="11" spans="1:18" x14ac:dyDescent="0.3">
      <c r="A11" s="9">
        <v>6</v>
      </c>
      <c r="B11" s="9">
        <v>56</v>
      </c>
      <c r="C11" s="9">
        <v>59</v>
      </c>
      <c r="D11" s="9">
        <f t="shared" si="0"/>
        <v>3</v>
      </c>
    </row>
    <row r="13" spans="1:18" x14ac:dyDescent="0.3">
      <c r="A13" t="s">
        <v>5</v>
      </c>
      <c r="B13" s="13" t="s">
        <v>6</v>
      </c>
      <c r="C13" s="13"/>
      <c r="D13" s="12">
        <v>6</v>
      </c>
      <c r="E13" s="3"/>
      <c r="F13" s="3"/>
      <c r="G13" s="3"/>
      <c r="H13" s="3"/>
    </row>
    <row r="14" spans="1:18" x14ac:dyDescent="0.3">
      <c r="B14" s="14" t="s">
        <v>7</v>
      </c>
      <c r="C14" s="14"/>
      <c r="D14" s="11">
        <f>AVERAGE(D6:D11)</f>
        <v>3</v>
      </c>
      <c r="E14" s="3"/>
      <c r="F14" s="3"/>
      <c r="G14" s="3"/>
      <c r="H14" s="3"/>
    </row>
    <row r="15" spans="1:18" x14ac:dyDescent="0.3">
      <c r="B15" s="15" t="s">
        <v>9</v>
      </c>
      <c r="C15" s="15"/>
      <c r="D15" s="16">
        <f>_xlfn.STDEV.S(D6:D11)</f>
        <v>1.7888543819998317</v>
      </c>
      <c r="E15" s="3"/>
      <c r="F15" s="3"/>
      <c r="G15" s="3"/>
      <c r="H15" s="3"/>
    </row>
    <row r="16" spans="1:18" x14ac:dyDescent="0.3">
      <c r="B16" s="17" t="s">
        <v>8</v>
      </c>
      <c r="C16" s="18"/>
      <c r="D16" s="18">
        <v>0.05</v>
      </c>
    </row>
    <row r="18" spans="1:4" x14ac:dyDescent="0.3">
      <c r="A18" t="s">
        <v>10</v>
      </c>
      <c r="B18" t="s">
        <v>11</v>
      </c>
    </row>
    <row r="19" spans="1:4" x14ac:dyDescent="0.3">
      <c r="B19" t="s">
        <v>12</v>
      </c>
    </row>
    <row r="21" spans="1:4" x14ac:dyDescent="0.3">
      <c r="A21" t="s">
        <v>13</v>
      </c>
      <c r="B21" t="s">
        <v>14</v>
      </c>
    </row>
    <row r="22" spans="1:4" x14ac:dyDescent="0.3">
      <c r="B22" t="s">
        <v>15</v>
      </c>
    </row>
    <row r="24" spans="1:4" x14ac:dyDescent="0.3">
      <c r="A24" t="s">
        <v>16</v>
      </c>
      <c r="B24" t="s">
        <v>17</v>
      </c>
    </row>
    <row r="25" spans="1:4" x14ac:dyDescent="0.3">
      <c r="B25" s="19">
        <f>(D14-0)/(D15/SQRT(D13))</f>
        <v>4.1079191812887457</v>
      </c>
    </row>
    <row r="27" spans="1:4" x14ac:dyDescent="0.3">
      <c r="A27" t="s">
        <v>18</v>
      </c>
      <c r="B27" t="s">
        <v>19</v>
      </c>
      <c r="D27" t="s">
        <v>20</v>
      </c>
    </row>
    <row r="28" spans="1:4" x14ac:dyDescent="0.3">
      <c r="B28">
        <v>5</v>
      </c>
    </row>
    <row r="29" spans="1:4" x14ac:dyDescent="0.3">
      <c r="B29" s="20" t="s">
        <v>21</v>
      </c>
      <c r="C29" s="20"/>
      <c r="D29" s="20"/>
    </row>
    <row r="31" spans="1:4" x14ac:dyDescent="0.3">
      <c r="A31" t="s">
        <v>22</v>
      </c>
      <c r="B31" t="s">
        <v>23</v>
      </c>
    </row>
    <row r="32" spans="1:4" x14ac:dyDescent="0.3">
      <c r="B32" s="21" t="s">
        <v>24</v>
      </c>
      <c r="C32" s="21"/>
      <c r="D32" s="21"/>
    </row>
    <row r="33" spans="1:5" x14ac:dyDescent="0.3">
      <c r="B33" s="19">
        <v>2.0150000000000001</v>
      </c>
      <c r="C33" t="s">
        <v>25</v>
      </c>
      <c r="D33" s="19">
        <v>4.1070000000000002</v>
      </c>
    </row>
    <row r="35" spans="1:5" x14ac:dyDescent="0.3">
      <c r="A35" t="s">
        <v>26</v>
      </c>
      <c r="B35" t="s">
        <v>27</v>
      </c>
    </row>
    <row r="36" spans="1:5" x14ac:dyDescent="0.3">
      <c r="B36" t="s">
        <v>28</v>
      </c>
    </row>
    <row r="37" spans="1:5" x14ac:dyDescent="0.3">
      <c r="B37" t="s">
        <v>29</v>
      </c>
    </row>
    <row r="38" spans="1:5" x14ac:dyDescent="0.3">
      <c r="B38" s="22" t="s">
        <v>30</v>
      </c>
      <c r="C38" s="22"/>
      <c r="D38" s="22"/>
      <c r="E38" s="22"/>
    </row>
  </sheetData>
  <mergeCells count="2">
    <mergeCell ref="A1:I3"/>
    <mergeCell ref="J1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9E63-7C13-4E9E-8F92-0753438563CB}">
  <dimension ref="A1:N44"/>
  <sheetViews>
    <sheetView tabSelected="1" workbookViewId="0">
      <selection activeCell="I29" sqref="I29"/>
    </sheetView>
  </sheetViews>
  <sheetFormatPr defaultRowHeight="14.4" x14ac:dyDescent="0.3"/>
  <cols>
    <col min="1" max="1" width="8.88671875" bestFit="1" customWidth="1"/>
    <col min="2" max="2" width="11.33203125" bestFit="1" customWidth="1"/>
    <col min="3" max="3" width="11.21875" bestFit="1" customWidth="1"/>
    <col min="4" max="4" width="6.33203125" bestFit="1" customWidth="1"/>
  </cols>
  <sheetData>
    <row r="1" spans="1:14" x14ac:dyDescent="0.3">
      <c r="A1" s="23" t="s">
        <v>31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ht="18" x14ac:dyDescent="0.35">
      <c r="A4" s="6" t="s">
        <v>32</v>
      </c>
      <c r="B4" s="25" t="s">
        <v>33</v>
      </c>
      <c r="C4" s="26" t="s">
        <v>34</v>
      </c>
      <c r="D4" s="27" t="s">
        <v>35</v>
      </c>
    </row>
    <row r="5" spans="1:14" x14ac:dyDescent="0.3">
      <c r="A5" s="4" t="s">
        <v>36</v>
      </c>
      <c r="B5" s="9">
        <v>30</v>
      </c>
      <c r="C5" s="9">
        <v>20</v>
      </c>
      <c r="D5" s="9">
        <v>50</v>
      </c>
    </row>
    <row r="6" spans="1:14" x14ac:dyDescent="0.3">
      <c r="A6" s="4" t="s">
        <v>37</v>
      </c>
      <c r="B6" s="9">
        <v>10</v>
      </c>
      <c r="C6" s="9">
        <v>40</v>
      </c>
      <c r="D6" s="9">
        <v>50</v>
      </c>
    </row>
    <row r="7" spans="1:14" x14ac:dyDescent="0.3">
      <c r="A7" s="4" t="s">
        <v>35</v>
      </c>
      <c r="B7" s="9">
        <v>40</v>
      </c>
      <c r="C7" s="9">
        <v>60</v>
      </c>
      <c r="D7" s="9">
        <v>100</v>
      </c>
    </row>
    <row r="9" spans="1:14" x14ac:dyDescent="0.3">
      <c r="A9" s="57" t="s">
        <v>38</v>
      </c>
      <c r="B9" s="58" t="s">
        <v>39</v>
      </c>
      <c r="C9" s="59"/>
      <c r="D9" s="30"/>
      <c r="E9" s="30"/>
      <c r="F9" s="30"/>
      <c r="G9" s="30"/>
      <c r="H9" s="30"/>
      <c r="I9" s="30"/>
      <c r="J9" s="30"/>
    </row>
    <row r="10" spans="1:14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</row>
    <row r="11" spans="1:14" x14ac:dyDescent="0.3">
      <c r="A11" s="30" t="s">
        <v>40</v>
      </c>
      <c r="B11" s="30" t="s">
        <v>41</v>
      </c>
      <c r="C11" s="30"/>
      <c r="D11" s="30"/>
      <c r="E11" s="30"/>
      <c r="F11" s="30"/>
      <c r="G11" s="30"/>
      <c r="H11" s="30"/>
      <c r="I11" s="30"/>
      <c r="J11" s="30"/>
    </row>
    <row r="12" spans="1:14" x14ac:dyDescent="0.3">
      <c r="A12" s="30" t="s">
        <v>42</v>
      </c>
      <c r="B12" s="30" t="s">
        <v>43</v>
      </c>
      <c r="C12" s="30"/>
      <c r="D12" s="30"/>
      <c r="E12" s="30"/>
      <c r="F12" s="30"/>
      <c r="G12" s="30"/>
      <c r="H12" s="30"/>
      <c r="I12" s="30"/>
      <c r="J12" s="30"/>
    </row>
    <row r="13" spans="1:14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</row>
    <row r="14" spans="1:14" x14ac:dyDescent="0.3">
      <c r="A14" s="57" t="s">
        <v>44</v>
      </c>
      <c r="B14" s="58" t="s">
        <v>45</v>
      </c>
      <c r="C14" s="59"/>
      <c r="D14" s="30"/>
      <c r="E14" s="30"/>
      <c r="F14" s="30"/>
      <c r="G14" s="30"/>
      <c r="H14" s="30"/>
      <c r="I14" s="30"/>
      <c r="J14" s="30"/>
    </row>
    <row r="15" spans="1:14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spans="1:14" x14ac:dyDescent="0.3">
      <c r="A16" s="63" t="s">
        <v>46</v>
      </c>
      <c r="B16" s="64" t="s">
        <v>47</v>
      </c>
      <c r="C16" s="64"/>
      <c r="D16" s="64"/>
      <c r="E16" s="65"/>
      <c r="F16" s="30"/>
      <c r="G16" s="30"/>
      <c r="H16" s="30"/>
      <c r="I16" s="30"/>
      <c r="J16" s="30"/>
    </row>
    <row r="17" spans="1:10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spans="1:10" x14ac:dyDescent="0.3">
      <c r="A18" s="32" t="s">
        <v>48</v>
      </c>
      <c r="B18" s="32" t="s">
        <v>32</v>
      </c>
      <c r="C18" s="32" t="s">
        <v>33</v>
      </c>
      <c r="D18" s="32" t="s">
        <v>34</v>
      </c>
      <c r="E18" s="32" t="s">
        <v>35</v>
      </c>
      <c r="F18" s="30"/>
      <c r="G18" s="33" t="s">
        <v>49</v>
      </c>
      <c r="H18" s="33" t="s">
        <v>32</v>
      </c>
      <c r="I18" s="33" t="s">
        <v>33</v>
      </c>
      <c r="J18" s="33" t="s">
        <v>34</v>
      </c>
    </row>
    <row r="19" spans="1:10" x14ac:dyDescent="0.3">
      <c r="A19" s="34"/>
      <c r="B19" s="34" t="s">
        <v>36</v>
      </c>
      <c r="C19" s="35">
        <v>30</v>
      </c>
      <c r="D19" s="35">
        <v>20</v>
      </c>
      <c r="E19" s="36">
        <v>50</v>
      </c>
      <c r="F19" s="30"/>
      <c r="G19" s="34"/>
      <c r="H19" s="34" t="s">
        <v>36</v>
      </c>
      <c r="I19" s="37">
        <v>20</v>
      </c>
      <c r="J19" s="37">
        <v>30</v>
      </c>
    </row>
    <row r="20" spans="1:10" x14ac:dyDescent="0.3">
      <c r="A20" s="34"/>
      <c r="B20" s="34" t="s">
        <v>37</v>
      </c>
      <c r="C20" s="35">
        <v>10</v>
      </c>
      <c r="D20" s="35">
        <v>40</v>
      </c>
      <c r="E20" s="36">
        <v>50</v>
      </c>
      <c r="F20" s="30"/>
      <c r="G20" s="34"/>
      <c r="H20" s="34" t="s">
        <v>37</v>
      </c>
      <c r="I20" s="37">
        <v>20</v>
      </c>
      <c r="J20" s="37">
        <v>30</v>
      </c>
    </row>
    <row r="21" spans="1:10" x14ac:dyDescent="0.3">
      <c r="A21" s="34"/>
      <c r="B21" s="34" t="s">
        <v>35</v>
      </c>
      <c r="C21" s="36">
        <v>40</v>
      </c>
      <c r="D21" s="36">
        <v>60</v>
      </c>
      <c r="E21" s="38">
        <v>100</v>
      </c>
      <c r="F21" s="30"/>
      <c r="G21" s="30"/>
      <c r="H21" s="30"/>
      <c r="I21" s="30"/>
      <c r="J21" s="30"/>
    </row>
    <row r="24" spans="1:10" ht="15.6" x14ac:dyDescent="0.3">
      <c r="A24" s="60" t="s">
        <v>50</v>
      </c>
      <c r="B24" s="61" t="s">
        <v>51</v>
      </c>
      <c r="C24" s="62"/>
      <c r="D24" s="30"/>
      <c r="E24" s="30"/>
      <c r="F24" s="30"/>
      <c r="G24" s="30"/>
      <c r="H24" s="30"/>
    </row>
    <row r="25" spans="1:10" x14ac:dyDescent="0.3">
      <c r="A25" s="30"/>
      <c r="B25" s="30"/>
      <c r="C25" s="30"/>
      <c r="D25" s="30"/>
      <c r="E25" s="30"/>
      <c r="F25" s="30"/>
      <c r="G25" s="30"/>
      <c r="H25" s="30"/>
    </row>
    <row r="26" spans="1:10" ht="18" x14ac:dyDescent="0.35">
      <c r="A26" s="39" t="s">
        <v>52</v>
      </c>
      <c r="B26" s="29"/>
      <c r="C26" s="31"/>
      <c r="D26" s="30"/>
      <c r="E26" s="30"/>
      <c r="F26" s="30"/>
      <c r="G26" s="30"/>
      <c r="H26" s="30"/>
    </row>
    <row r="27" spans="1:10" x14ac:dyDescent="0.3">
      <c r="A27" s="30" t="s">
        <v>53</v>
      </c>
      <c r="B27" s="30"/>
      <c r="C27" s="30"/>
      <c r="D27" s="30"/>
      <c r="E27" s="30"/>
      <c r="F27" s="30"/>
      <c r="G27" s="30"/>
      <c r="H27" s="30"/>
    </row>
    <row r="28" spans="1:10" x14ac:dyDescent="0.3">
      <c r="A28" s="30" t="s">
        <v>54</v>
      </c>
      <c r="B28" s="30" t="s">
        <v>55</v>
      </c>
      <c r="C28" s="30"/>
      <c r="D28" s="30"/>
      <c r="E28" s="30"/>
      <c r="F28" s="30"/>
      <c r="G28" s="30"/>
      <c r="H28" s="30"/>
    </row>
    <row r="29" spans="1:10" x14ac:dyDescent="0.3">
      <c r="A29" s="30" t="s">
        <v>56</v>
      </c>
      <c r="B29" s="30" t="s">
        <v>46</v>
      </c>
      <c r="C29" s="30"/>
      <c r="D29" s="30"/>
      <c r="E29" s="30"/>
      <c r="F29" s="30"/>
      <c r="G29" s="30"/>
      <c r="H29" s="30"/>
    </row>
    <row r="30" spans="1:10" x14ac:dyDescent="0.3">
      <c r="A30" s="30"/>
      <c r="B30" s="30"/>
      <c r="C30" s="40" t="s">
        <v>56</v>
      </c>
      <c r="D30" s="41" t="s">
        <v>54</v>
      </c>
      <c r="E30" s="41" t="s">
        <v>57</v>
      </c>
      <c r="F30" s="41" t="s">
        <v>58</v>
      </c>
      <c r="G30" s="42" t="s">
        <v>59</v>
      </c>
      <c r="H30" s="30"/>
    </row>
    <row r="31" spans="1:10" x14ac:dyDescent="0.3">
      <c r="A31" s="43" t="s">
        <v>60</v>
      </c>
      <c r="B31" s="43"/>
      <c r="C31" s="38">
        <v>20</v>
      </c>
      <c r="D31" s="38">
        <v>30</v>
      </c>
      <c r="E31" s="32">
        <v>10</v>
      </c>
      <c r="F31" s="32">
        <v>100</v>
      </c>
      <c r="G31" s="32">
        <v>5</v>
      </c>
      <c r="H31" s="30"/>
    </row>
    <row r="32" spans="1:10" x14ac:dyDescent="0.3">
      <c r="A32" s="43" t="s">
        <v>61</v>
      </c>
      <c r="B32" s="43"/>
      <c r="C32" s="38">
        <v>30</v>
      </c>
      <c r="D32" s="38">
        <v>20</v>
      </c>
      <c r="E32" s="32">
        <v>-10</v>
      </c>
      <c r="F32" s="32">
        <v>100</v>
      </c>
      <c r="G32" s="32">
        <v>3.3333333330000001</v>
      </c>
      <c r="H32" s="30"/>
    </row>
    <row r="33" spans="1:8" x14ac:dyDescent="0.3">
      <c r="A33" s="43" t="s">
        <v>62</v>
      </c>
      <c r="B33" s="43"/>
      <c r="C33" s="38">
        <v>20</v>
      </c>
      <c r="D33" s="38">
        <v>10</v>
      </c>
      <c r="E33" s="32">
        <v>-10</v>
      </c>
      <c r="F33" s="32">
        <v>100</v>
      </c>
      <c r="G33" s="32">
        <v>5</v>
      </c>
      <c r="H33" s="30"/>
    </row>
    <row r="34" spans="1:8" x14ac:dyDescent="0.3">
      <c r="A34" s="43" t="s">
        <v>63</v>
      </c>
      <c r="B34" s="43"/>
      <c r="C34" s="38">
        <v>30</v>
      </c>
      <c r="D34" s="38">
        <v>40</v>
      </c>
      <c r="E34" s="32">
        <v>10</v>
      </c>
      <c r="F34" s="32">
        <v>100</v>
      </c>
      <c r="G34" s="32">
        <v>3.3333333330000001</v>
      </c>
      <c r="H34" s="30"/>
    </row>
    <row r="35" spans="1:8" x14ac:dyDescent="0.3">
      <c r="A35" s="30"/>
      <c r="B35" s="30"/>
      <c r="C35" s="30"/>
      <c r="D35" s="30"/>
      <c r="E35" s="30"/>
      <c r="F35" s="30"/>
      <c r="G35" s="44">
        <v>16.666666670000001</v>
      </c>
      <c r="H35" s="30"/>
    </row>
    <row r="36" spans="1:8" x14ac:dyDescent="0.3">
      <c r="A36" s="57" t="s">
        <v>64</v>
      </c>
      <c r="B36" s="58" t="s">
        <v>65</v>
      </c>
      <c r="C36" s="59"/>
      <c r="D36" s="30"/>
      <c r="E36" s="30"/>
      <c r="F36" s="30"/>
      <c r="G36" s="30"/>
      <c r="H36" s="30"/>
    </row>
    <row r="37" spans="1:8" x14ac:dyDescent="0.3">
      <c r="A37" s="30" t="s">
        <v>66</v>
      </c>
      <c r="B37" s="30"/>
      <c r="C37" s="30"/>
      <c r="D37" s="30"/>
      <c r="E37" s="30"/>
      <c r="F37" s="30"/>
      <c r="G37" s="30"/>
      <c r="H37" s="30"/>
    </row>
    <row r="38" spans="1:8" x14ac:dyDescent="0.3">
      <c r="A38" s="28" t="s">
        <v>67</v>
      </c>
      <c r="B38" s="31">
        <v>1</v>
      </c>
      <c r="C38" s="30"/>
      <c r="D38" s="30"/>
      <c r="E38" s="30"/>
      <c r="F38" s="30"/>
      <c r="G38" s="30"/>
      <c r="H38" s="30"/>
    </row>
    <row r="39" spans="1:8" x14ac:dyDescent="0.3">
      <c r="A39" s="30"/>
      <c r="B39" s="30"/>
      <c r="C39" s="30"/>
      <c r="D39" s="30"/>
      <c r="E39" s="30"/>
      <c r="F39" s="30"/>
      <c r="G39" s="30"/>
      <c r="H39" s="30"/>
    </row>
    <row r="40" spans="1:8" x14ac:dyDescent="0.3">
      <c r="A40" s="30" t="s">
        <v>68</v>
      </c>
      <c r="B40" s="30">
        <v>0.05</v>
      </c>
      <c r="C40" s="30"/>
      <c r="D40" s="45" t="s">
        <v>69</v>
      </c>
      <c r="E40" s="46"/>
      <c r="F40" s="46"/>
      <c r="G40" s="46" t="s">
        <v>70</v>
      </c>
      <c r="H40" s="47"/>
    </row>
    <row r="41" spans="1:8" x14ac:dyDescent="0.3">
      <c r="A41" s="30" t="s">
        <v>71</v>
      </c>
      <c r="B41" s="30">
        <v>1</v>
      </c>
      <c r="C41" s="30"/>
      <c r="D41" s="48">
        <v>16.666666670000001</v>
      </c>
      <c r="E41" s="49"/>
      <c r="F41" s="49" t="s">
        <v>72</v>
      </c>
      <c r="G41" s="49">
        <v>3.8410000000000002</v>
      </c>
      <c r="H41" s="50"/>
    </row>
    <row r="42" spans="1:8" x14ac:dyDescent="0.3">
      <c r="A42" s="30"/>
      <c r="B42" s="30"/>
      <c r="C42" s="30"/>
      <c r="D42" s="30"/>
      <c r="E42" s="30"/>
      <c r="F42" s="30"/>
      <c r="G42" s="30"/>
      <c r="H42" s="30"/>
    </row>
    <row r="43" spans="1:8" x14ac:dyDescent="0.3">
      <c r="A43" s="30"/>
      <c r="B43" s="30"/>
      <c r="C43" s="30"/>
      <c r="D43" s="51" t="s">
        <v>73</v>
      </c>
      <c r="E43" s="52"/>
      <c r="F43" s="52"/>
      <c r="G43" s="53"/>
      <c r="H43" s="30"/>
    </row>
    <row r="44" spans="1:8" x14ac:dyDescent="0.3">
      <c r="A44" s="30"/>
      <c r="B44" s="30"/>
      <c r="C44" s="30"/>
      <c r="D44" s="54" t="s">
        <v>74</v>
      </c>
      <c r="E44" s="55"/>
      <c r="F44" s="55"/>
      <c r="G44" s="56"/>
      <c r="H44" s="30"/>
    </row>
  </sheetData>
  <mergeCells count="1">
    <mergeCell ref="A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 7</vt:lpstr>
      <vt:lpstr>Sol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PRARABDH SRIVASTAVA</dc:creator>
  <cp:lastModifiedBy>PRARABDH SRIVASTAVA</cp:lastModifiedBy>
  <dcterms:created xsi:type="dcterms:W3CDTF">2026-02-01T13:33:47Z</dcterms:created>
  <dcterms:modified xsi:type="dcterms:W3CDTF">2026-02-01T14:36:41Z</dcterms:modified>
</cp:coreProperties>
</file>