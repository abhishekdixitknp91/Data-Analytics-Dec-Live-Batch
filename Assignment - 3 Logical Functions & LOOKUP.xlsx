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RABDH\Downloads\"/>
    </mc:Choice>
  </mc:AlternateContent>
  <xr:revisionPtr revIDLastSave="0" documentId="8_{1A8129CC-4668-4B70-B911-EAE2D3E1A2AD}" xr6:coauthVersionLast="47" xr6:coauthVersionMax="47" xr10:uidLastSave="{00000000-0000-0000-0000-000000000000}"/>
  <bookViews>
    <workbookView xWindow="-108" yWindow="-108" windowWidth="23256" windowHeight="12456" activeTab="7" xr2:uid="{857F351F-687D-4CE6-A9FF-D184E32D9C24}"/>
  </bookViews>
  <sheets>
    <sheet name="SOL 1" sheetId="1" r:id="rId1"/>
    <sheet name="SOL 2" sheetId="2" r:id="rId2"/>
    <sheet name="SOL 3" sheetId="3" r:id="rId3"/>
    <sheet name="SOL 4" sheetId="4" r:id="rId4"/>
    <sheet name="SOL 5" sheetId="5" r:id="rId5"/>
    <sheet name="SOL 6" sheetId="6" r:id="rId6"/>
    <sheet name="SOL 7" sheetId="7" r:id="rId7"/>
    <sheet name="SOL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F3" i="7"/>
  <c r="D3" i="6"/>
  <c r="D4" i="6"/>
  <c r="D2" i="6"/>
  <c r="E3" i="5"/>
  <c r="F3" i="4"/>
  <c r="E3" i="3"/>
  <c r="D3" i="2"/>
  <c r="D4" i="2"/>
  <c r="D5" i="2"/>
  <c r="D2" i="2"/>
  <c r="E3" i="1" l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<sst xmlns="http://schemas.openxmlformats.org/spreadsheetml/2006/main" count="72" uniqueCount="54">
  <si>
    <t>Student Names</t>
  </si>
  <si>
    <t>Marks</t>
  </si>
  <si>
    <t>Riya</t>
  </si>
  <si>
    <t>Siya</t>
  </si>
  <si>
    <t>Raju</t>
  </si>
  <si>
    <t>Rahul</t>
  </si>
  <si>
    <t>Ram</t>
  </si>
  <si>
    <t>Q 1) Write a formula to check if the marks in cell B2 are greater than or equal to 40. If yes, return "Pass, otherwise "Fail".</t>
  </si>
  <si>
    <t>Status</t>
  </si>
  <si>
    <t>Employee</t>
  </si>
  <si>
    <t>Sales</t>
  </si>
  <si>
    <t>Attendance</t>
  </si>
  <si>
    <t>Arjun</t>
  </si>
  <si>
    <t>Simran</t>
  </si>
  <si>
    <t>Rohit</t>
  </si>
  <si>
    <t>Anjali</t>
  </si>
  <si>
    <t>Q 2) company gives a bonus  if sales are above 40,000 and attendance is greater than or equal to 90%. Write a
formula to calculate whether the employee will get a bonus or not .</t>
  </si>
  <si>
    <t xml:space="preserve">Raj </t>
  </si>
  <si>
    <t>Neha</t>
  </si>
  <si>
    <t>Vivek</t>
  </si>
  <si>
    <t>Rani</t>
  </si>
  <si>
    <t>Sneha</t>
  </si>
  <si>
    <t>Q 3) Write a nested IF formula:_x000B_If marks in B2 are ≥ 90 → , "A" ≥ 75 → , "B" ≥ 50 → , "C" otherwise "Fail"</t>
  </si>
  <si>
    <t>Emp ID</t>
  </si>
  <si>
    <t>Name</t>
  </si>
  <si>
    <t>Department</t>
  </si>
  <si>
    <t>E101</t>
  </si>
  <si>
    <t>E102</t>
  </si>
  <si>
    <t>E103</t>
  </si>
  <si>
    <t>E104</t>
  </si>
  <si>
    <t>E105</t>
  </si>
  <si>
    <t>Roshni</t>
  </si>
  <si>
    <t>Sejal</t>
  </si>
  <si>
    <t>IT</t>
  </si>
  <si>
    <t>HR</t>
  </si>
  <si>
    <t>Finance</t>
  </si>
  <si>
    <t>Q 4) Find the Department of Employee ID = E103. Also explain which LOOKUP function is used and why?</t>
  </si>
  <si>
    <t>VLOOKUP is used because Emp ID are in first Column.</t>
  </si>
  <si>
    <t>Sales Amount</t>
  </si>
  <si>
    <t>Commission Rate</t>
  </si>
  <si>
    <t>Q 5)  company has set the following commission structure for its sales team: If a salesperson achieves sales of ₹45,000, use the VLOOKUP function to determine the commission rate
applicable.</t>
  </si>
  <si>
    <t>Employee Name</t>
  </si>
  <si>
    <t>Leaves Allowed</t>
  </si>
  <si>
    <t>Leaves Taken</t>
  </si>
  <si>
    <t>Alex</t>
  </si>
  <si>
    <t>Bob</t>
  </si>
  <si>
    <t>Anna</t>
  </si>
  <si>
    <t>Q 6) Write an IF function to check whether an employee has Exceeded their allowed leave balance.
If Leaves Taken &gt; Allowed Leaves, display "Exceeded".
Otherwise, display "OK".</t>
  </si>
  <si>
    <t>Salary</t>
  </si>
  <si>
    <t>E106</t>
  </si>
  <si>
    <t>Q 7) Find the salary of EmpID = E105 using INDEX-MATCH Function</t>
  </si>
  <si>
    <t>E303</t>
  </si>
  <si>
    <t>E301</t>
  </si>
  <si>
    <t>Q 8)  Use the XLOOKUP function to find the Department of the employee with Emp ID = E303.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</si>
</sst>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Border="1"/>
    <xf numFmtId="0" fontId="2" fillId="3" borderId="1" xfId="0" applyFont="1" applyFill="1" applyBorder="1"/>
    <xf numFmtId="0" fontId="2" fillId="4" borderId="0" xfId="0" applyFont="1" applyFill="1" applyBorder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3" fillId="5" borderId="1" xfId="0" applyFont="1" applyFill="1" applyBorder="1"/>
    <xf numFmtId="0" fontId="5" fillId="6" borderId="1" xfId="0" applyFont="1" applyFill="1" applyBorder="1"/>
    <xf numFmtId="0" fontId="5" fillId="6" borderId="0" xfId="0" applyFont="1" applyFill="1" applyBorder="1"/>
    <xf numFmtId="0" fontId="5" fillId="0" borderId="0" xfId="0" applyFont="1"/>
    <xf numFmtId="0" fontId="2" fillId="7" borderId="1" xfId="0" applyFont="1" applyFill="1" applyBorder="1"/>
    <xf numFmtId="0" fontId="2" fillId="8" borderId="1" xfId="0" applyFont="1" applyFill="1" applyBorder="1"/>
    <xf numFmtId="0" fontId="5" fillId="0" borderId="1" xfId="0" applyFont="1" applyBorder="1" applyAlignment="1">
      <alignment horizontal="center"/>
    </xf>
    <xf numFmtId="0" fontId="2" fillId="4" borderId="0" xfId="0" applyFont="1" applyFill="1" applyAlignment="1">
      <alignment wrapText="1"/>
    </xf>
    <xf numFmtId="0" fontId="2" fillId="9" borderId="1" xfId="0" applyFont="1" applyFill="1" applyBorder="1"/>
    <xf numFmtId="0" fontId="2" fillId="10" borderId="1" xfId="0" applyFont="1" applyFill="1" applyBorder="1"/>
    <xf numFmtId="0" fontId="5" fillId="5" borderId="1" xfId="0" applyFont="1" applyFill="1" applyBorder="1"/>
    <xf numFmtId="0" fontId="5" fillId="7" borderId="1" xfId="0" applyFont="1" applyFill="1" applyBorder="1"/>
    <xf numFmtId="0" fontId="5" fillId="10" borderId="1" xfId="0" applyFont="1" applyFill="1" applyBorder="1"/>
    <xf numFmtId="0" fontId="2" fillId="4" borderId="0" xfId="0" applyFont="1" applyFill="1"/>
    <xf numFmtId="0" fontId="2" fillId="5" borderId="1" xfId="0" applyFont="1" applyFill="1" applyBorder="1"/>
    <xf numFmtId="0" fontId="2" fillId="11" borderId="1" xfId="0" applyFont="1" applyFill="1" applyBorder="1"/>
    <xf numFmtId="0" fontId="5" fillId="0" borderId="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7" fillId="10" borderId="1" xfId="0" applyFont="1" applyFill="1" applyBorder="1"/>
    <xf numFmtId="0" fontId="2" fillId="6" borderId="0" xfId="0" applyFont="1" applyFill="1"/>
    <xf numFmtId="0" fontId="2" fillId="1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4E71-1AB2-4794-B924-E043E4022E75}">
  <dimension ref="A1:E6"/>
  <sheetViews>
    <sheetView workbookViewId="0">
      <selection activeCell="E4" sqref="E4"/>
    </sheetView>
  </sheetViews>
  <sheetFormatPr defaultRowHeight="14.4" x14ac:dyDescent="0.3"/>
  <cols>
    <col min="1" max="1" width="20.44140625" style="1" bestFit="1" customWidth="1"/>
    <col min="2" max="2" width="8.88671875" style="1"/>
    <col min="3" max="3" width="17.5546875" style="1" customWidth="1"/>
    <col min="4" max="4" width="8.88671875" style="1"/>
    <col min="5" max="5" width="133.44140625" style="1" customWidth="1"/>
    <col min="6" max="16384" width="8.88671875" style="1"/>
  </cols>
  <sheetData>
    <row r="1" spans="1:5" ht="21" x14ac:dyDescent="0.4">
      <c r="A1" s="4" t="s">
        <v>0</v>
      </c>
      <c r="B1" s="5" t="s">
        <v>1</v>
      </c>
      <c r="C1" s="9" t="s">
        <v>8</v>
      </c>
      <c r="E1" s="3" t="s">
        <v>7</v>
      </c>
    </row>
    <row r="2" spans="1:5" ht="21" x14ac:dyDescent="0.4">
      <c r="A2" s="6" t="s">
        <v>2</v>
      </c>
      <c r="B2" s="7">
        <v>45</v>
      </c>
      <c r="C2" s="10" t="str" cm="1">
        <f t="array" ref="C2:C6">IF(B2:B6&gt;=40,"Pass","Fail")</f>
        <v>Pass</v>
      </c>
    </row>
    <row r="3" spans="1:5" ht="21" x14ac:dyDescent="0.4">
      <c r="A3" s="6" t="s">
        <v>3</v>
      </c>
      <c r="B3" s="7">
        <v>72</v>
      </c>
      <c r="C3" s="8" t="str">
        <v>Pass</v>
      </c>
      <c r="E3" s="11" t="str">
        <f>IF(B2&gt;=40,"Pass","Fail")</f>
        <v>Pass</v>
      </c>
    </row>
    <row r="4" spans="1:5" ht="21" x14ac:dyDescent="0.4">
      <c r="A4" s="6" t="s">
        <v>4</v>
      </c>
      <c r="B4" s="7">
        <v>55</v>
      </c>
      <c r="C4" s="8" t="str">
        <v>Pass</v>
      </c>
    </row>
    <row r="5" spans="1:5" ht="21" x14ac:dyDescent="0.4">
      <c r="A5" s="6" t="s">
        <v>5</v>
      </c>
      <c r="B5" s="7">
        <v>80</v>
      </c>
      <c r="C5" s="8" t="str">
        <v>Pass</v>
      </c>
    </row>
    <row r="6" spans="1:5" ht="21" x14ac:dyDescent="0.4">
      <c r="A6" s="6" t="s">
        <v>6</v>
      </c>
      <c r="B6" s="7">
        <v>30</v>
      </c>
      <c r="C6" s="8" t="str"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D638-11E7-45A6-B48D-9DAE4145F160}">
  <dimension ref="A1:E5"/>
  <sheetViews>
    <sheetView workbookViewId="0">
      <selection activeCell="E9" sqref="E9"/>
    </sheetView>
  </sheetViews>
  <sheetFormatPr defaultRowHeight="14.4" x14ac:dyDescent="0.3"/>
  <cols>
    <col min="1" max="1" width="11" bestFit="1" customWidth="1"/>
    <col min="2" max="2" width="11.88671875" customWidth="1"/>
    <col min="3" max="3" width="13.109375" bestFit="1" customWidth="1"/>
    <col min="4" max="4" width="13.21875" customWidth="1"/>
    <col min="5" max="5" width="118.33203125" customWidth="1"/>
  </cols>
  <sheetData>
    <row r="1" spans="1:5" ht="54" x14ac:dyDescent="0.35">
      <c r="A1" s="13" t="s">
        <v>9</v>
      </c>
      <c r="B1" s="2" t="s">
        <v>10</v>
      </c>
      <c r="C1" s="14" t="s">
        <v>11</v>
      </c>
      <c r="D1" s="17" t="s">
        <v>8</v>
      </c>
      <c r="E1" s="16" t="s">
        <v>16</v>
      </c>
    </row>
    <row r="2" spans="1:5" ht="18" x14ac:dyDescent="0.35">
      <c r="A2" s="8" t="s">
        <v>12</v>
      </c>
      <c r="B2" s="8">
        <v>55000</v>
      </c>
      <c r="C2" s="15">
        <v>95</v>
      </c>
      <c r="D2" s="8" t="str">
        <f>IF(AND(B2&gt;40000,C2&gt;=90),"Bonus","NoBonus")</f>
        <v>Bonus</v>
      </c>
    </row>
    <row r="3" spans="1:5" ht="18" x14ac:dyDescent="0.35">
      <c r="A3" s="8" t="s">
        <v>13</v>
      </c>
      <c r="B3" s="8">
        <v>65000</v>
      </c>
      <c r="C3" s="15">
        <v>85</v>
      </c>
      <c r="D3" s="8" t="str">
        <f t="shared" ref="D3:D5" si="0">IF(AND(B3&gt;40000,C3&gt;=90),"Bonus","NoBonus")</f>
        <v>NoBonus</v>
      </c>
    </row>
    <row r="4" spans="1:5" ht="18" x14ac:dyDescent="0.35">
      <c r="A4" s="8" t="s">
        <v>14</v>
      </c>
      <c r="B4" s="8">
        <v>30000</v>
      </c>
      <c r="C4" s="15">
        <v>90</v>
      </c>
      <c r="D4" s="8" t="str">
        <f t="shared" si="0"/>
        <v>NoBonus</v>
      </c>
    </row>
    <row r="5" spans="1:5" ht="18" x14ac:dyDescent="0.35">
      <c r="A5" s="8" t="s">
        <v>15</v>
      </c>
      <c r="B5" s="8">
        <v>25000</v>
      </c>
      <c r="C5" s="15">
        <v>65</v>
      </c>
      <c r="D5" s="8" t="str">
        <f t="shared" si="0"/>
        <v>NoBonus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1710-D9A8-479F-85CC-E6EACB5AE74E}">
  <dimension ref="A1:E6"/>
  <sheetViews>
    <sheetView workbookViewId="0">
      <selection activeCell="E3" sqref="E3"/>
    </sheetView>
  </sheetViews>
  <sheetFormatPr defaultRowHeight="14.4" x14ac:dyDescent="0.3"/>
  <cols>
    <col min="1" max="1" width="17" bestFit="1" customWidth="1"/>
    <col min="4" max="4" width="8.77734375" customWidth="1"/>
    <col min="5" max="5" width="133.44140625" customWidth="1"/>
  </cols>
  <sheetData>
    <row r="1" spans="1:5" ht="18" x14ac:dyDescent="0.35">
      <c r="A1" s="18" t="s">
        <v>0</v>
      </c>
      <c r="B1" s="13" t="s">
        <v>1</v>
      </c>
      <c r="E1" s="16" t="s">
        <v>22</v>
      </c>
    </row>
    <row r="2" spans="1:5" ht="18" x14ac:dyDescent="0.35">
      <c r="A2" s="8" t="s">
        <v>17</v>
      </c>
      <c r="B2" s="15">
        <v>85</v>
      </c>
    </row>
    <row r="3" spans="1:5" ht="18" x14ac:dyDescent="0.35">
      <c r="A3" s="8" t="s">
        <v>18</v>
      </c>
      <c r="B3" s="15">
        <v>96</v>
      </c>
      <c r="E3" t="str">
        <f>IF(B2&gt;=90,"A",IF(B2&gt;E6=75,"B",IF(B2&gt;=50,"C","Fail")))</f>
        <v>C</v>
      </c>
    </row>
    <row r="4" spans="1:5" ht="18" x14ac:dyDescent="0.35">
      <c r="A4" s="8" t="s">
        <v>19</v>
      </c>
      <c r="B4" s="15">
        <v>57</v>
      </c>
    </row>
    <row r="5" spans="1:5" ht="18" x14ac:dyDescent="0.35">
      <c r="A5" s="8" t="s">
        <v>20</v>
      </c>
      <c r="B5" s="15">
        <v>92</v>
      </c>
    </row>
    <row r="6" spans="1:5" ht="18" x14ac:dyDescent="0.35">
      <c r="A6" s="8" t="s">
        <v>21</v>
      </c>
      <c r="B6" s="1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B3DC-B12E-4AAA-B8FF-9870BBF11B89}">
  <dimension ref="A1:F5"/>
  <sheetViews>
    <sheetView workbookViewId="0">
      <selection activeCell="F3" sqref="F3"/>
    </sheetView>
  </sheetViews>
  <sheetFormatPr defaultRowHeight="14.4" x14ac:dyDescent="0.3"/>
  <cols>
    <col min="3" max="3" width="13.6640625" bestFit="1" customWidth="1"/>
    <col min="5" max="5" width="9.21875" customWidth="1"/>
    <col min="6" max="6" width="113" customWidth="1"/>
  </cols>
  <sheetData>
    <row r="1" spans="1:6" ht="18" x14ac:dyDescent="0.35">
      <c r="A1" s="19" t="s">
        <v>23</v>
      </c>
      <c r="B1" s="20" t="s">
        <v>24</v>
      </c>
      <c r="C1" s="21" t="s">
        <v>25</v>
      </c>
      <c r="F1" s="22" t="s">
        <v>36</v>
      </c>
    </row>
    <row r="2" spans="1:6" ht="18" x14ac:dyDescent="0.35">
      <c r="A2" s="8" t="s">
        <v>26</v>
      </c>
      <c r="B2" s="8" t="s">
        <v>4</v>
      </c>
      <c r="C2" s="8" t="s">
        <v>33</v>
      </c>
    </row>
    <row r="3" spans="1:6" ht="18" x14ac:dyDescent="0.35">
      <c r="A3" s="8" t="s">
        <v>27</v>
      </c>
      <c r="B3" s="8" t="s">
        <v>2</v>
      </c>
      <c r="C3" s="8" t="s">
        <v>34</v>
      </c>
      <c r="F3" s="12" t="str">
        <f>VLOOKUP(A4,A2:C5,3,FALSE)</f>
        <v>Finance</v>
      </c>
    </row>
    <row r="4" spans="1:6" ht="18" x14ac:dyDescent="0.35">
      <c r="A4" s="8" t="s">
        <v>28</v>
      </c>
      <c r="B4" s="8" t="s">
        <v>31</v>
      </c>
      <c r="C4" s="8" t="s">
        <v>35</v>
      </c>
    </row>
    <row r="5" spans="1:6" ht="18" x14ac:dyDescent="0.35">
      <c r="A5" s="8" t="s">
        <v>29</v>
      </c>
      <c r="B5" s="8" t="s">
        <v>32</v>
      </c>
      <c r="C5" s="8" t="s">
        <v>10</v>
      </c>
      <c r="F5" s="12" t="s">
        <v>37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85B5-FE00-4FA0-B751-5581A0079E7F}">
  <dimension ref="A1:E5"/>
  <sheetViews>
    <sheetView workbookViewId="0">
      <selection activeCell="E3" sqref="E3"/>
    </sheetView>
  </sheetViews>
  <sheetFormatPr defaultRowHeight="14.4" x14ac:dyDescent="0.3"/>
  <cols>
    <col min="1" max="1" width="15.21875" bestFit="1" customWidth="1"/>
    <col min="2" max="2" width="18.88671875" bestFit="1" customWidth="1"/>
    <col min="5" max="5" width="124.5546875" customWidth="1"/>
  </cols>
  <sheetData>
    <row r="1" spans="1:5" ht="54" x14ac:dyDescent="0.35">
      <c r="A1" s="23" t="s">
        <v>38</v>
      </c>
      <c r="B1" s="24" t="s">
        <v>39</v>
      </c>
      <c r="E1" s="16" t="s">
        <v>40</v>
      </c>
    </row>
    <row r="2" spans="1:5" ht="18" x14ac:dyDescent="0.35">
      <c r="A2" s="15">
        <v>0</v>
      </c>
      <c r="B2" s="25">
        <v>5</v>
      </c>
    </row>
    <row r="3" spans="1:5" ht="18" x14ac:dyDescent="0.35">
      <c r="A3" s="15">
        <v>20000</v>
      </c>
      <c r="B3" s="25">
        <v>10</v>
      </c>
      <c r="E3" s="26">
        <f>VLOOKUP(45000,'SOL 5'!A2:B5,2,TRUE)</f>
        <v>10</v>
      </c>
    </row>
    <row r="4" spans="1:5" ht="18" x14ac:dyDescent="0.35">
      <c r="A4" s="15">
        <v>50000</v>
      </c>
      <c r="B4" s="25">
        <v>15</v>
      </c>
    </row>
    <row r="5" spans="1:5" ht="18" x14ac:dyDescent="0.35">
      <c r="A5" s="15">
        <v>80000</v>
      </c>
      <c r="B5" s="25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3D80-B199-40D6-B18D-E64EB7097394}">
  <dimension ref="A1:F4"/>
  <sheetViews>
    <sheetView workbookViewId="0">
      <selection activeCell="D2" sqref="D2"/>
    </sheetView>
  </sheetViews>
  <sheetFormatPr defaultRowHeight="14.4" x14ac:dyDescent="0.3"/>
  <cols>
    <col min="1" max="1" width="17.88671875" bestFit="1" customWidth="1"/>
    <col min="2" max="2" width="14.6640625" bestFit="1" customWidth="1"/>
    <col min="3" max="3" width="17.77734375" bestFit="1" customWidth="1"/>
    <col min="4" max="4" width="7.5546875" bestFit="1" customWidth="1"/>
    <col min="5" max="5" width="8.88671875" customWidth="1"/>
    <col min="6" max="6" width="106.6640625" customWidth="1"/>
    <col min="7" max="7" width="0.21875" customWidth="1"/>
  </cols>
  <sheetData>
    <row r="1" spans="1:6" ht="108" x14ac:dyDescent="0.35">
      <c r="A1" s="13" t="s">
        <v>41</v>
      </c>
      <c r="B1" s="14" t="s">
        <v>43</v>
      </c>
      <c r="C1" s="27" t="s">
        <v>42</v>
      </c>
      <c r="D1" s="28" t="s">
        <v>8</v>
      </c>
      <c r="F1" s="16" t="s">
        <v>47</v>
      </c>
    </row>
    <row r="2" spans="1:6" ht="18" x14ac:dyDescent="0.35">
      <c r="A2" s="8" t="s">
        <v>44</v>
      </c>
      <c r="B2" s="15">
        <v>10</v>
      </c>
      <c r="C2" s="15">
        <v>12</v>
      </c>
      <c r="D2" s="15" t="str">
        <f>IF(B2&gt;C2,"Exceeded", "OK")</f>
        <v>OK</v>
      </c>
    </row>
    <row r="3" spans="1:6" ht="18" x14ac:dyDescent="0.35">
      <c r="A3" s="8" t="s">
        <v>45</v>
      </c>
      <c r="B3" s="15">
        <v>10</v>
      </c>
      <c r="C3" s="15">
        <v>15</v>
      </c>
      <c r="D3" s="15" t="str">
        <f t="shared" ref="D3:D4" si="0">IF(B3&gt;C3,"Exceeded", "OK")</f>
        <v>OK</v>
      </c>
    </row>
    <row r="4" spans="1:6" ht="18" x14ac:dyDescent="0.35">
      <c r="A4" s="8" t="s">
        <v>46</v>
      </c>
      <c r="B4" s="15">
        <v>8</v>
      </c>
      <c r="C4" s="15">
        <v>12</v>
      </c>
      <c r="D4" s="15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FF6D-08EE-4F9F-8450-A164DAF952F9}">
  <dimension ref="A1:F5"/>
  <sheetViews>
    <sheetView workbookViewId="0">
      <selection activeCell="F3" sqref="F3"/>
    </sheetView>
  </sheetViews>
  <sheetFormatPr defaultRowHeight="14.4" x14ac:dyDescent="0.3"/>
  <cols>
    <col min="1" max="1" width="8.5546875" bestFit="1" customWidth="1"/>
    <col min="5" max="5" width="8.88671875" customWidth="1"/>
    <col min="6" max="6" width="124.6640625" customWidth="1"/>
  </cols>
  <sheetData>
    <row r="1" spans="1:6" ht="18" x14ac:dyDescent="0.35">
      <c r="A1" s="23" t="s">
        <v>23</v>
      </c>
      <c r="B1" s="18" t="s">
        <v>48</v>
      </c>
      <c r="F1" s="22" t="s">
        <v>50</v>
      </c>
    </row>
    <row r="2" spans="1:6" ht="18" x14ac:dyDescent="0.35">
      <c r="A2" s="8" t="s">
        <v>29</v>
      </c>
      <c r="B2" s="8">
        <v>55000</v>
      </c>
    </row>
    <row r="3" spans="1:6" ht="18" x14ac:dyDescent="0.35">
      <c r="A3" s="8" t="s">
        <v>30</v>
      </c>
      <c r="B3" s="8">
        <v>72000</v>
      </c>
      <c r="F3" s="26">
        <f>INDEX(B2:B5,MATCH("E105",A2:A5,0))</f>
        <v>72000</v>
      </c>
    </row>
    <row r="4" spans="1:6" ht="18" x14ac:dyDescent="0.35">
      <c r="A4" s="8" t="s">
        <v>49</v>
      </c>
      <c r="B4" s="8">
        <v>62000</v>
      </c>
    </row>
    <row r="5" spans="1:6" ht="18" x14ac:dyDescent="0.35">
      <c r="A5" s="8" t="s">
        <v>27</v>
      </c>
      <c r="B5" s="8">
        <v>41000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AD97-9CB4-4E0C-9377-15CF0EDA90BA}">
  <dimension ref="A1:E5"/>
  <sheetViews>
    <sheetView tabSelected="1" workbookViewId="0">
      <selection activeCell="E3" sqref="E3"/>
    </sheetView>
  </sheetViews>
  <sheetFormatPr defaultRowHeight="14.4" x14ac:dyDescent="0.3"/>
  <cols>
    <col min="5" max="5" width="124.21875" customWidth="1"/>
  </cols>
  <sheetData>
    <row r="1" spans="1:5" ht="18" x14ac:dyDescent="0.35">
      <c r="A1" s="13" t="s">
        <v>23</v>
      </c>
      <c r="B1" s="29" t="s">
        <v>48</v>
      </c>
      <c r="E1" s="22" t="s">
        <v>53</v>
      </c>
    </row>
    <row r="2" spans="1:5" ht="18" x14ac:dyDescent="0.35">
      <c r="A2" s="8" t="s">
        <v>26</v>
      </c>
      <c r="B2" s="8" t="s">
        <v>34</v>
      </c>
    </row>
    <row r="3" spans="1:5" ht="18" x14ac:dyDescent="0.35">
      <c r="A3" s="8" t="s">
        <v>51</v>
      </c>
      <c r="B3" s="8" t="s">
        <v>33</v>
      </c>
      <c r="E3" s="12" t="str">
        <f>_xlfn.XLOOKUP(A3,A2:A5,B2:B5)</f>
        <v>IT</v>
      </c>
    </row>
    <row r="4" spans="1:5" ht="18" x14ac:dyDescent="0.35">
      <c r="A4" s="8" t="s">
        <v>49</v>
      </c>
      <c r="B4" s="8" t="s">
        <v>10</v>
      </c>
    </row>
    <row r="5" spans="1:5" ht="18" x14ac:dyDescent="0.35">
      <c r="A5" s="8" t="s">
        <v>52</v>
      </c>
      <c r="B5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SOL 1</vt:lpstr>
      <vt:lpstr>SOL 2</vt:lpstr>
      <vt:lpstr>SOL 3</vt:lpstr>
      <vt:lpstr>SOL 4</vt:lpstr>
      <vt:lpstr>SOL 5</vt:lpstr>
      <vt:lpstr>SOL 6</vt:lpstr>
      <vt:lpstr>SOL 7</vt:lpstr>
      <vt:lpstr>SOL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PRARABDH SRIVASTAVA</dc:creator>
  <cp:lastModifiedBy>PRARABDH SRIVASTAVA</cp:lastModifiedBy>
  <dcterms:created xsi:type="dcterms:W3CDTF">2026-01-17T08:44:49Z</dcterms:created>
  <dcterms:modified xsi:type="dcterms:W3CDTF">2026-01-17T11:06:22Z</dcterms:modified>
</cp:coreProperties>
</file>