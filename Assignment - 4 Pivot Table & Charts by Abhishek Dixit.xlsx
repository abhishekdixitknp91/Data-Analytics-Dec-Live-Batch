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3.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7.xml" ContentType="application/vnd.openxmlformats-officedocument.spreadsheetml.pivotTable+xml"/>
  <Override PartName="/xl/pivotTables/pivotTable8.xml" ContentType="application/vnd.openxmlformats-officedocument.spreadsheetml.pivot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defaultThemeVersion="166925"/>
  <mc:AlternateContent xmlns:mc="http://schemas.openxmlformats.org/markup-compatibility/2006">
    <mc:Choice Requires="x15">
      <x15ac:absPath xmlns:x15ac="http://schemas.microsoft.com/office/spreadsheetml/2010/11/ac" url="C:\Users\PRARABDH\Downloads\"/>
    </mc:Choice>
  </mc:AlternateContent>
  <xr:revisionPtr revIDLastSave="0" documentId="8_{E573B160-5E43-478C-B651-EFDB706AFD5F}" xr6:coauthVersionLast="47" xr6:coauthVersionMax="47" xr10:uidLastSave="{00000000-0000-0000-0000-000000000000}"/>
  <bookViews>
    <workbookView xWindow="-108" yWindow="-108" windowWidth="23256" windowHeight="12456" activeTab="7" xr2:uid="{5EC85B4C-F128-42CB-8E2F-5046D18B8800}"/>
  </bookViews>
  <sheets>
    <sheet name="Data" sheetId="2" r:id="rId1"/>
    <sheet name="SOL 2" sheetId="3" r:id="rId2"/>
    <sheet name="SOL 3" sheetId="1" r:id="rId3"/>
    <sheet name="SOL 5" sheetId="5" r:id="rId4"/>
    <sheet name="SOL 6" sheetId="4" r:id="rId5"/>
    <sheet name="SOL 8" sheetId="6" r:id="rId6"/>
    <sheet name="SOL 9" sheetId="9" r:id="rId7"/>
    <sheet name="SOL 10" sheetId="11" r:id="rId8"/>
  </sheets>
  <definedNames>
    <definedName name="Slicer_Product">#N/A</definedName>
    <definedName name="Slicer_Product1">#N/A</definedName>
  </definedNames>
  <calcPr calcId="191029"/>
  <pivotCaches>
    <pivotCache cacheId="43" r:id="rId9"/>
    <pivotCache cacheId="26" r:id="rId10"/>
    <pivotCache cacheId="36" r:id="rId11"/>
  </pivotCaches>
  <extLst>
    <ext xmlns:x14="http://schemas.microsoft.com/office/spreadsheetml/2009/9/main" uri="{BBE1A952-AA13-448e-AADC-164F8A28A991}">
      <x14:slicerCaches>
        <x14:slicerCache r:id="rId12"/>
        <x14:slicerCache r:id="rId13"/>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<sst xmlns="http://schemas.openxmlformats.org/spreadsheetml/2006/main" count="241" uniqueCount="30">
  <si>
    <t>Date</t>
  </si>
  <si>
    <t>Region</t>
  </si>
  <si>
    <t>Product</t>
  </si>
  <si>
    <t>Sales</t>
  </si>
  <si>
    <t>Quantity</t>
  </si>
  <si>
    <t>West</t>
  </si>
  <si>
    <t>Mangoes</t>
  </si>
  <si>
    <t>South</t>
  </si>
  <si>
    <t>Oranges</t>
  </si>
  <si>
    <t>Apples</t>
  </si>
  <si>
    <t>East</t>
  </si>
  <si>
    <t>North</t>
  </si>
  <si>
    <t>Q 3) Apply Conditional Formatting to highlight sales greater than 400.</t>
  </si>
  <si>
    <t>Row Labels</t>
  </si>
  <si>
    <t>Grand Total</t>
  </si>
  <si>
    <t>Sum of Sales</t>
  </si>
  <si>
    <t>Q 2) Create a PivotTable to show Total Sales by Region.</t>
  </si>
  <si>
    <t>Jan</t>
  </si>
  <si>
    <t>Feb</t>
  </si>
  <si>
    <t>Mar</t>
  </si>
  <si>
    <t>Apr</t>
  </si>
  <si>
    <t>May</t>
  </si>
  <si>
    <t>Jun</t>
  </si>
  <si>
    <t>Q 5) Create a PivotChart showing Monthly Sales Trend.</t>
  </si>
  <si>
    <t>Q 6) Use a Slicer to filter data by Product and observe changes in sales</t>
  </si>
  <si>
    <t>Q 8) Sales by Region (PivotTable + Chart) Product Filter (Slicer)
Monthly Trend (Line Chart)</t>
  </si>
  <si>
    <t>Average of Sales</t>
  </si>
  <si>
    <t>Q 9) Group dates in the PivotTable into Months and calculate the average sales per month</t>
  </si>
  <si>
    <t>Fruits</t>
  </si>
  <si>
    <t>Q 10) Combine Apples and Oranges into one group called Fruits and compare its sales with other products.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</si>
</sst>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4"/>
      <color theme="1"/>
      <name val="Calibri"/>
      <family val="2"/>
      <scheme val="minor"/>
    </font>
    <font>
      <sz val="14"/>
      <color theme="1"/>
      <name val="Calibri"/>
      <family val="2"/>
      <scheme val="minor"/>
    </font>
  </fonts>
  <fills count="9">
    <fill>
      <patternFill patternType="none"/>
    </fill>
    <fill>
      <patternFill patternType="gray125"/>
    </fill>
    <fill>
      <patternFill patternType="solid">
        <fgColor theme="5" tint="0.39997558519241921"/>
        <bgColor indexed="64"/>
      </patternFill>
    </fill>
    <fill>
      <patternFill patternType="solid">
        <fgColor theme="7" tint="0.39997558519241921"/>
        <bgColor indexed="64"/>
      </patternFill>
    </fill>
    <fill>
      <patternFill patternType="solid">
        <fgColor theme="9" tint="0.39997558519241921"/>
        <bgColor indexed="64"/>
      </patternFill>
    </fill>
    <fill>
      <patternFill patternType="solid">
        <fgColor rgb="FFFF0000"/>
        <bgColor indexed="64"/>
      </patternFill>
    </fill>
    <fill>
      <patternFill patternType="solid">
        <fgColor theme="4" tint="0.39997558519241921"/>
        <bgColor indexed="64"/>
      </patternFill>
    </fill>
    <fill>
      <patternFill patternType="solid">
        <fgColor rgb="FFFFFF00"/>
        <bgColor indexed="64"/>
      </patternFill>
    </fill>
    <fill>
      <patternFill patternType="solid">
        <fgColor theme="8" tint="0.39997558519241921"/>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2">
    <xf numFmtId="0" fontId="0" fillId="0" borderId="0" xfId="0"/>
    <xf numFmtId="0" fontId="1" fillId="2" borderId="1" xfId="0" applyFont="1" applyFill="1" applyBorder="1" applyAlignment="1">
      <alignment horizontal="center" vertical="top" wrapText="1"/>
    </xf>
    <xf numFmtId="0" fontId="1" fillId="3" borderId="1" xfId="0" applyFont="1" applyFill="1" applyBorder="1" applyAlignment="1">
      <alignment horizontal="center" vertical="top" wrapText="1"/>
    </xf>
    <xf numFmtId="0" fontId="1" fillId="4" borderId="1" xfId="0" applyFont="1" applyFill="1" applyBorder="1" applyAlignment="1">
      <alignment horizontal="center" vertical="top" wrapText="1"/>
    </xf>
    <xf numFmtId="0" fontId="1" fillId="5" borderId="1" xfId="0" applyFont="1" applyFill="1" applyBorder="1" applyAlignment="1">
      <alignment horizontal="center" vertical="top" wrapText="1"/>
    </xf>
    <xf numFmtId="0" fontId="1" fillId="6" borderId="1" xfId="0" applyFont="1" applyFill="1" applyBorder="1" applyAlignment="1">
      <alignment horizontal="center" vertical="top" wrapText="1"/>
    </xf>
    <xf numFmtId="22" fontId="2" fillId="0" borderId="1" xfId="0" applyNumberFormat="1" applyFont="1" applyBorder="1" applyAlignment="1">
      <alignment horizontal="right" wrapText="1"/>
    </xf>
    <xf numFmtId="0" fontId="2" fillId="0" borderId="1" xfId="0" applyFont="1" applyBorder="1" applyAlignment="1">
      <alignment wrapText="1"/>
    </xf>
    <xf numFmtId="0" fontId="2" fillId="0" borderId="1" xfId="0" applyFont="1" applyBorder="1" applyAlignment="1">
      <alignment horizontal="right" wrapText="1"/>
    </xf>
    <xf numFmtId="0" fontId="2" fillId="0" borderId="1" xfId="0" applyFont="1" applyBorder="1" applyAlignment="1">
      <alignment horizontal="center" wrapText="1"/>
    </xf>
    <xf numFmtId="0" fontId="1" fillId="0" borderId="0" xfId="0" applyFont="1"/>
    <xf numFmtId="0" fontId="2" fillId="0" borderId="0" xfId="0" applyFont="1"/>
    <xf numFmtId="0" fontId="1" fillId="7" borderId="0" xfId="0" applyFont="1" applyFill="1"/>
    <xf numFmtId="0" fontId="1" fillId="8" borderId="1" xfId="0" applyFont="1" applyFill="1" applyBorder="1" applyAlignment="1">
      <alignment horizontal="center" vertical="top" wrapText="1"/>
    </xf>
    <xf numFmtId="0" fontId="2" fillId="0" borderId="0" xfId="0" pivotButton="1" applyFont="1"/>
    <xf numFmtId="0" fontId="2" fillId="0" borderId="0" xfId="0" applyFont="1" applyAlignment="1">
      <alignment horizontal="left"/>
    </xf>
    <xf numFmtId="0" fontId="2" fillId="0" borderId="0" xfId="0" applyNumberFormat="1" applyFont="1"/>
    <xf numFmtId="0" fontId="2" fillId="0" borderId="1" xfId="0" pivotButton="1" applyFont="1" applyBorder="1"/>
    <xf numFmtId="0" fontId="2" fillId="0" borderId="1" xfId="0" applyFont="1" applyBorder="1"/>
    <xf numFmtId="0" fontId="2" fillId="0" borderId="1" xfId="0" applyFont="1" applyBorder="1" applyAlignment="1">
      <alignment horizontal="left"/>
    </xf>
    <xf numFmtId="0" fontId="2" fillId="0" borderId="1" xfId="0" applyNumberFormat="1" applyFont="1" applyBorder="1"/>
    <xf numFmtId="0" fontId="1" fillId="7" borderId="0" xfId="0" applyFont="1" applyFill="1" applyAlignment="1">
      <alignment wrapText="1"/>
    </xf>
  </cellXfs>
  <cellStyles count="1">
    <cellStyle name="Normal" xfId="0" builtinId="0"/>
  </cellStyles>
  <dxfs count="217">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sz val="14"/>
      </font>
    </dxf>
    <dxf>
      <font>
        <sz val="14"/>
      </font>
    </dxf>
    <dxf>
      <font>
        <sz val="14"/>
      </font>
    </dxf>
    <dxf>
      <font>
        <sz val="14"/>
      </font>
    </dxf>
    <dxf>
      <font>
        <sz val="14"/>
      </font>
    </dxf>
    <dxf>
      <font>
        <sz val="14"/>
      </font>
    </dxf>
    <dxf>
      <font>
        <sz val="14"/>
      </font>
    </dxf>
    <dxf>
      <font>
        <sz val="14"/>
      </font>
    </dxf>
    <dxf>
      <font>
        <sz val="14"/>
      </font>
    </dxf>
    <dxf>
      <font>
        <sz val="14"/>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color rgb="FF9C0006"/>
      </font>
      <fill>
        <patternFill>
          <bgColor rgb="FFFFC7CE"/>
        </patternFill>
      </fill>
    </dxf>
    <dxf>
      <font>
        <color rgb="FF9C5700"/>
      </font>
      <fill>
        <patternFill>
          <bgColor rgb="FFFFEB9C"/>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2.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3.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pivotCacheDefinition" Target="pivotCache/pivotCacheDefinition2.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[Assignment - 4 Pivot Table &amp; Charts by Prarabdh Srivastava.xlsx]SOL 5!PivotTable2</c:name>
    <c:fmtId val="1"/>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Monthly Sales Trend</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742825896762904"/>
          <c:y val="0.26995151647710702"/>
          <c:w val="0.66640463692038499"/>
          <c:h val="0.43392424905220178"/>
        </c:manualLayout>
      </c:layout>
      <c:lineChart>
        <c:grouping val="standard"/>
        <c:varyColors val="0"/>
        <c:ser>
          <c:idx val="0"/>
          <c:order val="0"/>
          <c:tx>
            <c:strRef>
              <c:f>'SOL 5'!$B$3</c:f>
              <c:strCache>
                <c:ptCount val="1"/>
                <c:pt idx="0">
                  <c:v>Total</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'SOL 5'!$A$4:$A$10</c:f>
              <c:strCache>
                <c:ptCount val="6"/>
                <c:pt idx="0">
                  <c:v>Jan</c:v>
                </c:pt>
                <c:pt idx="1">
                  <c:v>Feb</c:v>
                </c:pt>
                <c:pt idx="2">
                  <c:v>Mar</c:v>
                </c:pt>
                <c:pt idx="3">
                  <c:v>Apr</c:v>
                </c:pt>
                <c:pt idx="4">
                  <c:v>May</c:v>
                </c:pt>
                <c:pt idx="5">
                  <c:v>Jun</c:v>
                </c:pt>
              </c:strCache>
            </c:strRef>
          </c:cat>
          <c:val>
            <c:numRef>
              <c:f>'SOL 5'!$B$4:$B$10</c:f>
              <c:numCache>
                <c:formatCode>General</c:formatCode>
                <c:ptCount val="6"/>
                <c:pt idx="0">
                  <c:v>1281</c:v>
                </c:pt>
                <c:pt idx="1">
                  <c:v>1032</c:v>
                </c:pt>
                <c:pt idx="2">
                  <c:v>958</c:v>
                </c:pt>
                <c:pt idx="3">
                  <c:v>1155</c:v>
                </c:pt>
                <c:pt idx="4">
                  <c:v>1286</c:v>
                </c:pt>
                <c:pt idx="5">
                  <c:v>1117</c:v>
                </c:pt>
              </c:numCache>
            </c:numRef>
          </c:val>
          <c:smooth val="0"/>
          <c:extLst>
            <c:ext xmlns:c16="http://schemas.microsoft.com/office/drawing/2014/chart" uri="{C3380CC4-5D6E-409C-BE32-E72D297353CC}">
              <c16:uniqueId val="{00000000-A16E-4B22-BB5E-5C2705F3BADE}"/>
            </c:ext>
          </c:extLst>
        </c:ser>
        <c:dLbls>
          <c:dLblPos val="t"/>
          <c:showLegendKey val="0"/>
          <c:showVal val="1"/>
          <c:showCatName val="0"/>
          <c:showSerName val="0"/>
          <c:showPercent val="0"/>
          <c:showBubbleSize val="0"/>
        </c:dLbls>
        <c:marker val="1"/>
        <c:smooth val="0"/>
        <c:axId val="551289768"/>
        <c:axId val="551291928"/>
      </c:lineChart>
      <c:catAx>
        <c:axId val="551289768"/>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Months</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51291928"/>
        <c:crosses val="autoZero"/>
        <c:auto val="1"/>
        <c:lblAlgn val="ctr"/>
        <c:lblOffset val="100"/>
        <c:noMultiLvlLbl val="0"/>
      </c:catAx>
      <c:valAx>
        <c:axId val="551291928"/>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Sales</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512897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[Assignment - 4 Pivot Table &amp; Charts by Prarabdh Srivastava.xlsx]SOL 8!PivotTable9</c:name>
    <c:fmtId val="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Sales by  Region</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'SOL 8'!$H$1</c:f>
              <c:strCache>
                <c:ptCount val="1"/>
                <c:pt idx="0">
                  <c:v>Total</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'SOL 8'!$G$2:$G$6</c:f>
              <c:strCache>
                <c:ptCount val="4"/>
                <c:pt idx="0">
                  <c:v>East</c:v>
                </c:pt>
                <c:pt idx="1">
                  <c:v>North</c:v>
                </c:pt>
                <c:pt idx="2">
                  <c:v>South</c:v>
                </c:pt>
                <c:pt idx="3">
                  <c:v>West</c:v>
                </c:pt>
              </c:strCache>
            </c:strRef>
          </c:cat>
          <c:val>
            <c:numRef>
              <c:f>'SOL 8'!$H$2:$H$6</c:f>
              <c:numCache>
                <c:formatCode>General</c:formatCode>
                <c:ptCount val="4"/>
                <c:pt idx="0">
                  <c:v>467</c:v>
                </c:pt>
                <c:pt idx="1">
                  <c:v>347</c:v>
                </c:pt>
                <c:pt idx="2">
                  <c:v>2518</c:v>
                </c:pt>
                <c:pt idx="3">
                  <c:v>3497</c:v>
                </c:pt>
              </c:numCache>
            </c:numRef>
          </c:val>
          <c:extLst>
            <c:ext xmlns:c16="http://schemas.microsoft.com/office/drawing/2014/chart" uri="{C3380CC4-5D6E-409C-BE32-E72D297353CC}">
              <c16:uniqueId val="{00000000-EE20-4269-A74F-4A1B9A422564}"/>
            </c:ext>
          </c:extLst>
        </c:ser>
        <c:dLbls>
          <c:dLblPos val="outEnd"/>
          <c:showLegendKey val="0"/>
          <c:showVal val="1"/>
          <c:showCatName val="0"/>
          <c:showSerName val="0"/>
          <c:showPercent val="0"/>
          <c:showBubbleSize val="0"/>
        </c:dLbls>
        <c:gapWidth val="100"/>
        <c:overlap val="-24"/>
        <c:axId val="545317744"/>
        <c:axId val="435206568"/>
      </c:barChart>
      <c:catAx>
        <c:axId val="545317744"/>
        <c:scaling>
          <c:orientation val="minMax"/>
        </c:scaling>
        <c:delete val="0"/>
        <c:axPos val="b"/>
        <c:title>
          <c:tx>
            <c:rich>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IN"/>
                  <a:t>REGION</a:t>
                </a:r>
              </a:p>
            </c:rich>
          </c:tx>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5206568"/>
        <c:crosses val="autoZero"/>
        <c:auto val="1"/>
        <c:lblAlgn val="ctr"/>
        <c:lblOffset val="100"/>
        <c:noMultiLvlLbl val="0"/>
      </c:catAx>
      <c:valAx>
        <c:axId val="43520656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IN"/>
                  <a:t>SALES</a:t>
                </a:r>
              </a:p>
            </c:rich>
          </c:tx>
          <c:overlay val="0"/>
          <c:spPr>
            <a:noFill/>
            <a:ln>
              <a:noFill/>
            </a:ln>
            <a:effectLst/>
          </c:spPr>
          <c:txPr>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53177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[Assignment - 4 Pivot Table &amp; Charts by Prarabdh Srivastava.xlsx]SOL 8!PivotTable12</c:name>
    <c:fmtId val="0"/>
  </c:pivotSource>
  <c:chart>
    <c:title>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ln w="22225" cap="rnd">
            <a:solidFill>
              <a:schemeClr val="accent6"/>
            </a:solidFill>
          </a:ln>
          <a:effectLst>
            <a:glow rad="139700">
              <a:schemeClr val="accent6">
                <a:satMod val="175000"/>
                <a:alpha val="14000"/>
              </a:schemeClr>
            </a:glow>
          </a:effectLst>
        </c:spPr>
        <c:marker>
          <c:symbol val="circle"/>
          <c:size val="4"/>
          <c:spPr>
            <a:solidFill>
              <a:schemeClr val="accent6">
                <a:lumMod val="60000"/>
                <a:lumOff val="40000"/>
              </a:schemeClr>
            </a:solidFill>
            <a:ln>
              <a:noFill/>
            </a:ln>
            <a:effectLst>
              <a:glow rad="63500">
                <a:schemeClr val="accent6">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'SOL 8'!$N$17</c:f>
              <c:strCache>
                <c:ptCount val="1"/>
                <c:pt idx="0">
                  <c:v>Total</c:v>
                </c:pt>
              </c:strCache>
            </c:strRef>
          </c:tx>
          <c:spPr>
            <a:ln w="22225" cap="rnd">
              <a:solidFill>
                <a:schemeClr val="accent6"/>
              </a:solidFill>
            </a:ln>
            <a:effectLst>
              <a:glow rad="139700">
                <a:schemeClr val="accent6">
                  <a:satMod val="175000"/>
                  <a:alpha val="14000"/>
                </a:schemeClr>
              </a:glow>
            </a:effectLst>
          </c:spPr>
          <c:marker>
            <c:symbol val="circle"/>
            <c:size val="4"/>
            <c:spPr>
              <a:solidFill>
                <a:schemeClr val="accent6">
                  <a:lumMod val="60000"/>
                  <a:lumOff val="40000"/>
                </a:schemeClr>
              </a:solidFill>
              <a:ln>
                <a:noFill/>
              </a:ln>
              <a:effectLst>
                <a:glow rad="63500">
                  <a:schemeClr val="accent6">
                    <a:satMod val="175000"/>
                    <a:alpha val="25000"/>
                  </a:schemeClr>
                </a:glo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'SOL 8'!$M$18:$M$24</c:f>
              <c:strCache>
                <c:ptCount val="6"/>
                <c:pt idx="0">
                  <c:v>Jan</c:v>
                </c:pt>
                <c:pt idx="1">
                  <c:v>Feb</c:v>
                </c:pt>
                <c:pt idx="2">
                  <c:v>Mar</c:v>
                </c:pt>
                <c:pt idx="3">
                  <c:v>Apr</c:v>
                </c:pt>
                <c:pt idx="4">
                  <c:v>May</c:v>
                </c:pt>
                <c:pt idx="5">
                  <c:v>Jun</c:v>
                </c:pt>
              </c:strCache>
            </c:strRef>
          </c:cat>
          <c:val>
            <c:numRef>
              <c:f>'SOL 8'!$N$18:$N$24</c:f>
              <c:numCache>
                <c:formatCode>General</c:formatCode>
                <c:ptCount val="6"/>
                <c:pt idx="0">
                  <c:v>1281</c:v>
                </c:pt>
                <c:pt idx="1">
                  <c:v>1032</c:v>
                </c:pt>
                <c:pt idx="2">
                  <c:v>958</c:v>
                </c:pt>
                <c:pt idx="3">
                  <c:v>1155</c:v>
                </c:pt>
                <c:pt idx="4">
                  <c:v>1286</c:v>
                </c:pt>
                <c:pt idx="5">
                  <c:v>1117</c:v>
                </c:pt>
              </c:numCache>
            </c:numRef>
          </c:val>
          <c:smooth val="0"/>
          <c:extLst>
            <c:ext xmlns:c16="http://schemas.microsoft.com/office/drawing/2014/chart" uri="{C3380CC4-5D6E-409C-BE32-E72D297353CC}">
              <c16:uniqueId val="{00000000-D47F-457B-BA81-B92986438F4D}"/>
            </c:ext>
          </c:extLst>
        </c:ser>
        <c:dLbls>
          <c:dLblPos val="t"/>
          <c:showLegendKey val="0"/>
          <c:showVal val="1"/>
          <c:showCatName val="0"/>
          <c:showSerName val="0"/>
          <c:showPercent val="0"/>
          <c:showBubbleSize val="0"/>
        </c:dLbls>
        <c:marker val="1"/>
        <c:smooth val="0"/>
        <c:axId val="428561360"/>
        <c:axId val="428561720"/>
      </c:lineChart>
      <c:catAx>
        <c:axId val="428561360"/>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title>
          <c:tx>
            <c:rich>
              <a:bodyPr rot="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r>
                  <a:rPr lang="en-IN"/>
                  <a:t>MONTHS</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428561720"/>
        <c:crosses val="autoZero"/>
        <c:auto val="1"/>
        <c:lblAlgn val="ctr"/>
        <c:lblOffset val="100"/>
        <c:noMultiLvlLbl val="0"/>
      </c:catAx>
      <c:valAx>
        <c:axId val="428561720"/>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title>
          <c:tx>
            <c:rich>
              <a:bodyPr rot="-540000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r>
                  <a:rPr lang="en-IN"/>
                  <a:t>SALES</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4285613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2" Type="http://schemas.openxmlformats.org/officeDocument/2006/relationships/chart" Target="../charts/chart3.xml"/><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4</xdr:col>
      <xdr:colOff>7620</xdr:colOff>
      <xdr:row>2</xdr:row>
      <xdr:rowOff>15240</xdr:rowOff>
    </xdr:from>
    <xdr:to>
      <xdr:col>4</xdr:col>
      <xdr:colOff>6126480</xdr:colOff>
      <xdr:row>18</xdr:row>
      <xdr:rowOff>179070</xdr:rowOff>
    </xdr:to>
    <xdr:graphicFrame macro="">
      <xdr:nvGraphicFramePr>
        <xdr:cNvPr id="3" name="Chart 2">
          <a:extLst>
            <a:ext uri="{FF2B5EF4-FFF2-40B4-BE49-F238E27FC236}">
              <a16:creationId xmlns:a16="http://schemas.microsoft.com/office/drawing/2014/main" id="{7F1A0E5A-ED23-19B8-4B0C-514EC4D0440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9</xdr:col>
      <xdr:colOff>38100</xdr:colOff>
      <xdr:row>2</xdr:row>
      <xdr:rowOff>15240</xdr:rowOff>
    </xdr:from>
    <xdr:to>
      <xdr:col>9</xdr:col>
      <xdr:colOff>1866900</xdr:colOff>
      <xdr:row>12</xdr:row>
      <xdr:rowOff>196215</xdr:rowOff>
    </xdr:to>
    <mc:AlternateContent xmlns:mc="http://schemas.openxmlformats.org/markup-compatibility/2006">
      <mc:Choice xmlns:a14="http://schemas.microsoft.com/office/drawing/2010/main" Requires="a14">
        <xdr:graphicFrame macro="">
          <xdr:nvGraphicFramePr>
            <xdr:cNvPr id="4" name="Product">
              <a:extLst>
                <a:ext uri="{FF2B5EF4-FFF2-40B4-BE49-F238E27FC236}">
                  <a16:creationId xmlns:a16="http://schemas.microsoft.com/office/drawing/2014/main" id="{44053266-24B3-91BE-6485-4A04A5B8F7DF}"/>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dr:sp macro="" textlink="">
          <xdr:nvSpPr>
            <xdr:cNvPr id="0" name=""/>
            <xdr:cNvSpPr>
              <a:spLocks noTextEdit="1"/>
            </xdr:cNvSpPr>
          </xdr:nvSpPr>
          <xdr:spPr>
            <a:xfrm>
              <a:off x="7299960" y="47244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6</xdr:col>
      <xdr:colOff>0</xdr:colOff>
      <xdr:row>6</xdr:row>
      <xdr:rowOff>217170</xdr:rowOff>
    </xdr:from>
    <xdr:to>
      <xdr:col>11</xdr:col>
      <xdr:colOff>495300</xdr:colOff>
      <xdr:row>18</xdr:row>
      <xdr:rowOff>217170</xdr:rowOff>
    </xdr:to>
    <xdr:graphicFrame macro="">
      <xdr:nvGraphicFramePr>
        <xdr:cNvPr id="2" name="Chart 1">
          <a:extLst>
            <a:ext uri="{FF2B5EF4-FFF2-40B4-BE49-F238E27FC236}">
              <a16:creationId xmlns:a16="http://schemas.microsoft.com/office/drawing/2014/main" id="{49198EE7-C86F-3978-C119-368CA1D3F2C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14</xdr:col>
      <xdr:colOff>22860</xdr:colOff>
      <xdr:row>2</xdr:row>
      <xdr:rowOff>213360</xdr:rowOff>
    </xdr:from>
    <xdr:to>
      <xdr:col>17</xdr:col>
      <xdr:colOff>22860</xdr:colOff>
      <xdr:row>13</xdr:row>
      <xdr:rowOff>165735</xdr:rowOff>
    </xdr:to>
    <mc:AlternateContent xmlns:mc="http://schemas.openxmlformats.org/markup-compatibility/2006">
      <mc:Choice xmlns:a14="http://schemas.microsoft.com/office/drawing/2010/main" Requires="a14">
        <xdr:graphicFrame macro="">
          <xdr:nvGraphicFramePr>
            <xdr:cNvPr id="3" name="Product 1">
              <a:extLst>
                <a:ext uri="{FF2B5EF4-FFF2-40B4-BE49-F238E27FC236}">
                  <a16:creationId xmlns:a16="http://schemas.microsoft.com/office/drawing/2014/main" id="{85BD12E1-59C7-3053-3CD3-68A8E762C03D}"/>
                </a:ext>
              </a:extLst>
            </xdr:cNvPr>
            <xdr:cNvGraphicFramePr/>
          </xdr:nvGraphicFramePr>
          <xdr:xfrm>
            <a:off x="0" y="0"/>
            <a:ext cx="0" cy="0"/>
          </xdr:xfrm>
          <a:graphic>
            <a:graphicData uri="http://schemas.microsoft.com/office/drawing/2010/slicer">
              <sle:slicer xmlns:sle="http://schemas.microsoft.com/office/drawing/2010/slicer" name="Product 1"/>
            </a:graphicData>
          </a:graphic>
        </xdr:graphicFrame>
      </mc:Choice>
      <mc:Fallback>
        <xdr:sp macro="" textlink="">
          <xdr:nvSpPr>
            <xdr:cNvPr id="0" name=""/>
            <xdr:cNvSpPr>
              <a:spLocks noTextEdit="1"/>
            </xdr:cNvSpPr>
          </xdr:nvSpPr>
          <xdr:spPr>
            <a:xfrm>
              <a:off x="12900660" y="135636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14</xdr:col>
      <xdr:colOff>38100</xdr:colOff>
      <xdr:row>15</xdr:row>
      <xdr:rowOff>209550</xdr:rowOff>
    </xdr:from>
    <xdr:to>
      <xdr:col>21</xdr:col>
      <xdr:colOff>342900</xdr:colOff>
      <xdr:row>28</xdr:row>
      <xdr:rowOff>163830</xdr:rowOff>
    </xdr:to>
    <xdr:graphicFrame macro="">
      <xdr:nvGraphicFramePr>
        <xdr:cNvPr id="4" name="Chart 3">
          <a:extLst>
            <a:ext uri="{FF2B5EF4-FFF2-40B4-BE49-F238E27FC236}">
              <a16:creationId xmlns:a16="http://schemas.microsoft.com/office/drawing/2014/main" id="{3C6F0EF9-C006-B6CF-947E-EF004F75B75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RARABDH" refreshedDate="46041.612975578704" createdVersion="8" refreshedVersion="8" minRefreshableVersion="3" recordCount="20" xr:uid="{82DACD9D-9C26-43DF-BCDC-D24C6DA54910}">
  <cacheSource type="worksheet">
    <worksheetSource ref="A1:E21" sheet="Data"/>
  </cacheSource>
  <cacheFields count="7">
    <cacheField name="Date" numFmtId="22">
      <sharedItems containsSemiMixedTypes="0" containsNonDate="0" containsDate="1" containsString="0" minDate="2024-01-01T00:00:00" maxDate="2024-07-01T00:00:00" count="20">
        <d v="2024-01-01T00:00:00"/>
        <d v="2024-01-10T12:37:54"/>
        <d v="2024-01-20T01:15:47"/>
        <d v="2024-01-29T13:53:41"/>
        <d v="2024-02-08T02:31:35"/>
        <d v="2024-02-17T15:09:28"/>
        <d v="2024-02-27T03:47:22"/>
        <d v="2024-03-07T16:25:16"/>
        <d v="2024-03-17T05:03:09"/>
        <d v="2024-03-26T17:41:03"/>
        <d v="2024-04-05T06:18:57"/>
        <d v="2024-04-14T18:56:51"/>
        <d v="2024-04-24T07:34:44"/>
        <d v="2024-05-03T20:12:38"/>
        <d v="2024-05-13T08:50:32"/>
        <d v="2024-05-22T21:28:25"/>
        <d v="2024-06-01T10:06:19"/>
        <d v="2024-06-10T22:44:13"/>
        <d v="2024-06-20T11:22:06"/>
        <d v="2024-06-30T00:00:00"/>
      </sharedItems>
      <fieldGroup par="5"/>
    </cacheField>
    <cacheField name="Region" numFmtId="0">
      <sharedItems count="4">
        <s v="West"/>
        <s v="South"/>
        <s v="East"/>
        <s v="North"/>
      </sharedItems>
    </cacheField>
    <cacheField name="Product" numFmtId="0">
      <sharedItems count="3">
        <s v="Mangoes"/>
        <s v="Oranges"/>
        <s v="Apples"/>
      </sharedItems>
      <fieldGroup par="6"/>
    </cacheField>
    <cacheField name="Sales" numFmtId="0">
      <sharedItems containsSemiMixedTypes="0" containsString="0" containsNumber="1" containsInteger="1" minValue="53" maxValue="497"/>
    </cacheField>
    <cacheField name="Quantity" numFmtId="0">
      <sharedItems containsSemiMixedTypes="0" containsString="0" containsNumber="1" containsInteger="1" minValue="23" maxValue="97"/>
    </cacheField>
    <cacheField name="Months (Date)" numFmtId="0" databaseField="0">
      <fieldGroup base="0">
        <rangePr groupBy="months" startDate="2024-01-01T00:00:00" endDate="2024-07-01T00:00:00"/>
        <groupItems count="14">
          <s v="&lt;1/1/2024"/>
          <s v="Jan"/>
          <s v="Feb"/>
          <s v="Mar"/>
          <s v="Apr"/>
          <s v="May"/>
          <s v="Jun"/>
          <s v="Jul"/>
          <s v="Aug"/>
          <s v="Sep"/>
          <s v="Oct"/>
          <s v="Nov"/>
          <s v="Dec"/>
          <s v="&gt;7/1/2024"/>
        </groupItems>
      </fieldGroup>
    </cacheField>
    <cacheField name="Product2" numFmtId="0" databaseField="0">
      <fieldGroup base="2">
        <discretePr count="3">
          <x v="0"/>
          <x v="1"/>
          <x v="1"/>
        </discretePr>
        <groupItems count="2">
          <s v="Mangoes"/>
          <s v="Group1"/>
        </groupItems>
      </fieldGroup>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RARABDH" refreshedDate="46041.653806134258" createdVersion="8" refreshedVersion="8" minRefreshableVersion="3" recordCount="20" xr:uid="{AEE3F6EC-164D-4AFC-8982-436F19F7C477}">
  <cacheSource type="worksheet">
    <worksheetSource ref="C1:D21" sheet="SOL 6"/>
  </cacheSource>
  <cacheFields count="2">
    <cacheField name="Product" numFmtId="0">
      <sharedItems count="3">
        <s v="Mangoes"/>
        <s v="Oranges"/>
        <s v="Apples"/>
      </sharedItems>
    </cacheField>
    <cacheField name="Sales" numFmtId="0">
      <sharedItems containsSemiMixedTypes="0" containsString="0" containsNumber="1" containsInteger="1" minValue="53" maxValue="497" count="19">
        <n v="456"/>
        <n v="348"/>
        <n v="247"/>
        <n v="230"/>
        <n v="281"/>
        <n v="334"/>
        <n v="417"/>
        <n v="441"/>
        <n v="76"/>
        <n v="205"/>
        <n v="483"/>
        <n v="467"/>
        <n v="380"/>
        <n v="497"/>
        <n v="409"/>
        <n v="53"/>
        <n v="398"/>
        <n v="347"/>
        <n v="319"/>
      </sharedItems>
    </cacheField>
  </cacheFields>
  <extLst>
    <ext xmlns:x14="http://schemas.microsoft.com/office/spreadsheetml/2009/9/main" uri="{725AE2AE-9491-48be-B2B4-4EB974FC3084}">
      <x14:pivotCacheDefinition pivotCacheId="1642068795"/>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RARABDH" refreshedDate="46041.665610069445" createdVersion="8" refreshedVersion="8" minRefreshableVersion="3" recordCount="20" xr:uid="{72FE74E4-5865-4371-8AAF-309F66DE6C0C}">
  <cacheSource type="worksheet">
    <worksheetSource ref="A1:E21" sheet="SOL 8"/>
  </cacheSource>
  <cacheFields count="7">
    <cacheField name="Date" numFmtId="22">
      <sharedItems containsSemiMixedTypes="0" containsNonDate="0" containsDate="1" containsString="0" minDate="2024-01-01T00:00:00" maxDate="2024-07-01T00:00:00" count="20">
        <d v="2024-01-01T00:00:00"/>
        <d v="2024-01-10T12:37:54"/>
        <d v="2024-01-20T01:15:47"/>
        <d v="2024-01-29T13:53:41"/>
        <d v="2024-02-08T02:31:35"/>
        <d v="2024-02-17T15:09:28"/>
        <d v="2024-02-27T03:47:22"/>
        <d v="2024-03-07T16:25:16"/>
        <d v="2024-03-17T05:03:09"/>
        <d v="2024-03-26T17:41:03"/>
        <d v="2024-04-05T06:18:57"/>
        <d v="2024-04-14T18:56:51"/>
        <d v="2024-04-24T07:34:44"/>
        <d v="2024-05-03T20:12:38"/>
        <d v="2024-05-13T08:50:32"/>
        <d v="2024-05-22T21:28:25"/>
        <d v="2024-06-01T10:06:19"/>
        <d v="2024-06-10T22:44:13"/>
        <d v="2024-06-20T11:22:06"/>
        <d v="2024-06-30T00:00:00"/>
      </sharedItems>
      <fieldGroup par="6"/>
    </cacheField>
    <cacheField name="Region" numFmtId="0">
      <sharedItems count="4">
        <s v="West"/>
        <s v="South"/>
        <s v="East"/>
        <s v="North"/>
      </sharedItems>
    </cacheField>
    <cacheField name="Product" numFmtId="0">
      <sharedItems count="3">
        <s v="Mangoes"/>
        <s v="Oranges"/>
        <s v="Apples"/>
      </sharedItems>
    </cacheField>
    <cacheField name="Sales" numFmtId="0">
      <sharedItems containsSemiMixedTypes="0" containsString="0" containsNumber="1" containsInteger="1" minValue="53" maxValue="497"/>
    </cacheField>
    <cacheField name="Quantity" numFmtId="0">
      <sharedItems containsSemiMixedTypes="0" containsString="0" containsNumber="1" containsInteger="1" minValue="23" maxValue="97"/>
    </cacheField>
    <cacheField name="Days (Date)" numFmtId="0" databaseField="0">
      <fieldGroup base="0">
        <rangePr groupBy="days" startDate="2024-01-01T00:00:00" endDate="2024-07-01T00:00:00"/>
        <groupItems count="368">
          <s v="&lt;1/1/2024"/>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7/1/2024"/>
        </groupItems>
      </fieldGroup>
    </cacheField>
    <cacheField name="Months (Date)" numFmtId="0" databaseField="0">
      <fieldGroup base="0">
        <rangePr groupBy="months" startDate="2024-01-01T00:00:00" endDate="2024-07-01T00:00:00"/>
        <groupItems count="14">
          <s v="&lt;1/1/2024"/>
          <s v="Jan"/>
          <s v="Feb"/>
          <s v="Mar"/>
          <s v="Apr"/>
          <s v="May"/>
          <s v="Jun"/>
          <s v="Jul"/>
          <s v="Aug"/>
          <s v="Sep"/>
          <s v="Oct"/>
          <s v="Nov"/>
          <s v="Dec"/>
          <s v="&gt;7/1/2024"/>
        </groupItems>
      </fieldGroup>
    </cacheField>
  </cacheFields>
  <extLst>
    <ext xmlns:x14="http://schemas.microsoft.com/office/spreadsheetml/2009/9/main" uri="{725AE2AE-9491-48be-B2B4-4EB974FC3084}">
      <x14:pivotCacheDefinition pivotCacheId="82467884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
  <r>
    <x v="0"/>
    <x v="0"/>
    <x v="0"/>
    <n v="456"/>
    <n v="93"/>
  </r>
  <r>
    <x v="1"/>
    <x v="1"/>
    <x v="1"/>
    <n v="348"/>
    <n v="56"/>
  </r>
  <r>
    <x v="2"/>
    <x v="1"/>
    <x v="0"/>
    <n v="247"/>
    <n v="76"/>
  </r>
  <r>
    <x v="3"/>
    <x v="0"/>
    <x v="2"/>
    <n v="230"/>
    <n v="37"/>
  </r>
  <r>
    <x v="4"/>
    <x v="0"/>
    <x v="0"/>
    <n v="281"/>
    <n v="50"/>
  </r>
  <r>
    <x v="5"/>
    <x v="0"/>
    <x v="1"/>
    <n v="334"/>
    <n v="52"/>
  </r>
  <r>
    <x v="6"/>
    <x v="1"/>
    <x v="2"/>
    <n v="417"/>
    <n v="29"/>
  </r>
  <r>
    <x v="7"/>
    <x v="0"/>
    <x v="2"/>
    <n v="441"/>
    <n v="44"/>
  </r>
  <r>
    <x v="8"/>
    <x v="1"/>
    <x v="0"/>
    <n v="76"/>
    <n v="63"/>
  </r>
  <r>
    <x v="9"/>
    <x v="0"/>
    <x v="1"/>
    <n v="441"/>
    <n v="79"/>
  </r>
  <r>
    <x v="10"/>
    <x v="1"/>
    <x v="0"/>
    <n v="205"/>
    <n v="23"/>
  </r>
  <r>
    <x v="11"/>
    <x v="0"/>
    <x v="1"/>
    <n v="483"/>
    <n v="97"/>
  </r>
  <r>
    <x v="12"/>
    <x v="2"/>
    <x v="0"/>
    <n v="467"/>
    <n v="97"/>
  </r>
  <r>
    <x v="13"/>
    <x v="0"/>
    <x v="0"/>
    <n v="380"/>
    <n v="92"/>
  </r>
  <r>
    <x v="14"/>
    <x v="1"/>
    <x v="1"/>
    <n v="497"/>
    <n v="71"/>
  </r>
  <r>
    <x v="15"/>
    <x v="1"/>
    <x v="0"/>
    <n v="409"/>
    <n v="81"/>
  </r>
  <r>
    <x v="16"/>
    <x v="0"/>
    <x v="1"/>
    <n v="53"/>
    <n v="45"/>
  </r>
  <r>
    <x v="17"/>
    <x v="0"/>
    <x v="2"/>
    <n v="398"/>
    <n v="33"/>
  </r>
  <r>
    <x v="18"/>
    <x v="3"/>
    <x v="1"/>
    <n v="347"/>
    <n v="35"/>
  </r>
  <r>
    <x v="19"/>
    <x v="1"/>
    <x v="2"/>
    <n v="319"/>
    <n v="45"/>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
  <r>
    <x v="0"/>
    <x v="0"/>
  </r>
  <r>
    <x v="1"/>
    <x v="1"/>
  </r>
  <r>
    <x v="0"/>
    <x v="2"/>
  </r>
  <r>
    <x v="2"/>
    <x v="3"/>
  </r>
  <r>
    <x v="0"/>
    <x v="4"/>
  </r>
  <r>
    <x v="1"/>
    <x v="5"/>
  </r>
  <r>
    <x v="2"/>
    <x v="6"/>
  </r>
  <r>
    <x v="2"/>
    <x v="7"/>
  </r>
  <r>
    <x v="0"/>
    <x v="8"/>
  </r>
  <r>
    <x v="1"/>
    <x v="7"/>
  </r>
  <r>
    <x v="0"/>
    <x v="9"/>
  </r>
  <r>
    <x v="1"/>
    <x v="10"/>
  </r>
  <r>
    <x v="0"/>
    <x v="11"/>
  </r>
  <r>
    <x v="0"/>
    <x v="12"/>
  </r>
  <r>
    <x v="1"/>
    <x v="13"/>
  </r>
  <r>
    <x v="0"/>
    <x v="14"/>
  </r>
  <r>
    <x v="1"/>
    <x v="15"/>
  </r>
  <r>
    <x v="2"/>
    <x v="16"/>
  </r>
  <r>
    <x v="1"/>
    <x v="17"/>
  </r>
  <r>
    <x v="2"/>
    <x v="18"/>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
  <r>
    <x v="0"/>
    <x v="0"/>
    <x v="0"/>
    <n v="456"/>
    <n v="93"/>
  </r>
  <r>
    <x v="1"/>
    <x v="1"/>
    <x v="1"/>
    <n v="348"/>
    <n v="56"/>
  </r>
  <r>
    <x v="2"/>
    <x v="1"/>
    <x v="0"/>
    <n v="247"/>
    <n v="76"/>
  </r>
  <r>
    <x v="3"/>
    <x v="0"/>
    <x v="2"/>
    <n v="230"/>
    <n v="37"/>
  </r>
  <r>
    <x v="4"/>
    <x v="0"/>
    <x v="0"/>
    <n v="281"/>
    <n v="50"/>
  </r>
  <r>
    <x v="5"/>
    <x v="0"/>
    <x v="1"/>
    <n v="334"/>
    <n v="52"/>
  </r>
  <r>
    <x v="6"/>
    <x v="1"/>
    <x v="2"/>
    <n v="417"/>
    <n v="29"/>
  </r>
  <r>
    <x v="7"/>
    <x v="0"/>
    <x v="2"/>
    <n v="441"/>
    <n v="44"/>
  </r>
  <r>
    <x v="8"/>
    <x v="1"/>
    <x v="0"/>
    <n v="76"/>
    <n v="63"/>
  </r>
  <r>
    <x v="9"/>
    <x v="0"/>
    <x v="1"/>
    <n v="441"/>
    <n v="79"/>
  </r>
  <r>
    <x v="10"/>
    <x v="1"/>
    <x v="0"/>
    <n v="205"/>
    <n v="23"/>
  </r>
  <r>
    <x v="11"/>
    <x v="0"/>
    <x v="1"/>
    <n v="483"/>
    <n v="97"/>
  </r>
  <r>
    <x v="12"/>
    <x v="2"/>
    <x v="0"/>
    <n v="467"/>
    <n v="97"/>
  </r>
  <r>
    <x v="13"/>
    <x v="0"/>
    <x v="0"/>
    <n v="380"/>
    <n v="92"/>
  </r>
  <r>
    <x v="14"/>
    <x v="1"/>
    <x v="1"/>
    <n v="497"/>
    <n v="71"/>
  </r>
  <r>
    <x v="15"/>
    <x v="1"/>
    <x v="0"/>
    <n v="409"/>
    <n v="81"/>
  </r>
  <r>
    <x v="16"/>
    <x v="0"/>
    <x v="1"/>
    <n v="53"/>
    <n v="45"/>
  </r>
  <r>
    <x v="17"/>
    <x v="0"/>
    <x v="2"/>
    <n v="398"/>
    <n v="33"/>
  </r>
  <r>
    <x v="18"/>
    <x v="3"/>
    <x v="1"/>
    <n v="347"/>
    <n v="35"/>
  </r>
  <r>
    <x v="19"/>
    <x v="1"/>
    <x v="2"/>
    <n v="319"/>
    <n v="4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58F1270-B2AE-4160-B35E-12116F379A9A}" name="PivotTable1" cacheId="4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8" firstHeaderRow="1" firstDataRow="1" firstDataCol="1"/>
  <pivotFields count="7">
    <pivotField numFmtId="22" showAll="0">
      <items count="21">
        <item x="0"/>
        <item x="1"/>
        <item x="2"/>
        <item x="3"/>
        <item x="4"/>
        <item x="5"/>
        <item x="6"/>
        <item x="7"/>
        <item x="8"/>
        <item x="9"/>
        <item x="10"/>
        <item x="11"/>
        <item x="12"/>
        <item x="13"/>
        <item x="14"/>
        <item x="15"/>
        <item x="16"/>
        <item x="17"/>
        <item x="18"/>
        <item x="19"/>
        <item t="default"/>
      </items>
    </pivotField>
    <pivotField axis="axisRow" showAll="0">
      <items count="5">
        <item x="2"/>
        <item x="3"/>
        <item x="1"/>
        <item x="0"/>
        <item t="default"/>
      </items>
    </pivotField>
    <pivotField showAll="0">
      <items count="4">
        <item x="2"/>
        <item x="0"/>
        <item x="1"/>
        <item t="default"/>
      </items>
    </pivotField>
    <pivotField dataField="1" showAll="0"/>
    <pivotField showAll="0"/>
    <pivotField showAll="0">
      <items count="15">
        <item x="0"/>
        <item x="1"/>
        <item x="2"/>
        <item x="3"/>
        <item x="4"/>
        <item x="5"/>
        <item x="6"/>
        <item x="7"/>
        <item x="8"/>
        <item x="9"/>
        <item x="10"/>
        <item x="11"/>
        <item x="12"/>
        <item x="13"/>
        <item t="default"/>
      </items>
    </pivotField>
    <pivotField showAll="0">
      <items count="3">
        <item x="1"/>
        <item x="0"/>
        <item t="default"/>
      </items>
    </pivotField>
  </pivotFields>
  <rowFields count="1">
    <field x="1"/>
  </rowFields>
  <rowItems count="5">
    <i>
      <x/>
    </i>
    <i>
      <x v="1"/>
    </i>
    <i>
      <x v="2"/>
    </i>
    <i>
      <x v="3"/>
    </i>
    <i t="grand">
      <x/>
    </i>
  </rowItems>
  <colItems count="1">
    <i/>
  </colItems>
  <dataFields count="1">
    <dataField name="Sum of Sales" fld="3" baseField="0" baseItem="0"/>
  </dataFields>
  <formats count="12">
    <format dxfId="202">
      <pivotArea type="all" dataOnly="0" outline="0" fieldPosition="0"/>
    </format>
    <format dxfId="203">
      <pivotArea outline="0" collapsedLevelsAreSubtotals="1" fieldPosition="0"/>
    </format>
    <format dxfId="204">
      <pivotArea field="1" type="button" dataOnly="0" labelOnly="1" outline="0" axis="axisRow" fieldPosition="0"/>
    </format>
    <format dxfId="205">
      <pivotArea dataOnly="0" labelOnly="1" fieldPosition="0">
        <references count="1">
          <reference field="1" count="0"/>
        </references>
      </pivotArea>
    </format>
    <format dxfId="206">
      <pivotArea dataOnly="0" labelOnly="1" grandRow="1" outline="0" fieldPosition="0"/>
    </format>
    <format dxfId="207">
      <pivotArea dataOnly="0" labelOnly="1" outline="0" axis="axisValues" fieldPosition="0"/>
    </format>
    <format dxfId="208">
      <pivotArea type="all" dataOnly="0" outline="0" fieldPosition="0"/>
    </format>
    <format dxfId="209">
      <pivotArea outline="0" collapsedLevelsAreSubtotals="1" fieldPosition="0"/>
    </format>
    <format dxfId="210">
      <pivotArea field="1" type="button" dataOnly="0" labelOnly="1" outline="0" axis="axisRow" fieldPosition="0"/>
    </format>
    <format dxfId="211">
      <pivotArea dataOnly="0" labelOnly="1" fieldPosition="0">
        <references count="1">
          <reference field="1" count="0"/>
        </references>
      </pivotArea>
    </format>
    <format dxfId="212">
      <pivotArea dataOnly="0" labelOnly="1" grandRow="1" outline="0" fieldPosition="0"/>
    </format>
    <format dxfId="213">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0EFB8F8-3455-43D8-B1D8-F6BA671A37EB}" name="PivotTable2" cacheId="4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B10" firstHeaderRow="1" firstDataRow="1" firstDataCol="1"/>
  <pivotFields count="7">
    <pivotField axis="axisRow" numFmtId="22" showAll="0">
      <items count="21">
        <item x="0"/>
        <item x="1"/>
        <item x="2"/>
        <item x="3"/>
        <item x="4"/>
        <item x="5"/>
        <item x="6"/>
        <item x="7"/>
        <item x="8"/>
        <item x="9"/>
        <item x="10"/>
        <item x="11"/>
        <item x="12"/>
        <item x="13"/>
        <item x="14"/>
        <item x="15"/>
        <item x="16"/>
        <item x="17"/>
        <item x="18"/>
        <item x="19"/>
        <item t="default"/>
      </items>
    </pivotField>
    <pivotField showAll="0"/>
    <pivotField showAll="0">
      <items count="4">
        <item x="2"/>
        <item x="0"/>
        <item x="1"/>
        <item t="default"/>
      </items>
    </pivotField>
    <pivotField dataField="1" showAll="0"/>
    <pivotField showAll="0"/>
    <pivotField axis="axisRow" showAll="0">
      <items count="15">
        <item x="0"/>
        <item sd="0" x="1"/>
        <item sd="0" x="2"/>
        <item sd="0" x="3"/>
        <item sd="0" x="4"/>
        <item sd="0" x="5"/>
        <item sd="0" x="6"/>
        <item x="7"/>
        <item x="8"/>
        <item x="9"/>
        <item x="10"/>
        <item x="11"/>
        <item x="12"/>
        <item x="13"/>
        <item t="default"/>
      </items>
    </pivotField>
    <pivotField showAll="0">
      <items count="3">
        <item x="1"/>
        <item x="0"/>
        <item t="default"/>
      </items>
    </pivotField>
  </pivotFields>
  <rowFields count="2">
    <field x="5"/>
    <field x="0"/>
  </rowFields>
  <rowItems count="7">
    <i>
      <x v="1"/>
    </i>
    <i>
      <x v="2"/>
    </i>
    <i>
      <x v="3"/>
    </i>
    <i>
      <x v="4"/>
    </i>
    <i>
      <x v="5"/>
    </i>
    <i>
      <x v="6"/>
    </i>
    <i t="grand">
      <x/>
    </i>
  </rowItems>
  <colItems count="1">
    <i/>
  </colItems>
  <dataFields count="1">
    <dataField name="Sum of Sales" fld="3" baseField="0" baseItem="0"/>
  </dataFields>
  <formats count="4">
    <format dxfId="198">
      <pivotArea type="all" dataOnly="0" outline="0" fieldPosition="0"/>
    </format>
    <format dxfId="199">
      <pivotArea outline="0" collapsedLevelsAreSubtotals="1" fieldPosition="0"/>
    </format>
    <format dxfId="200">
      <pivotArea dataOnly="0" labelOnly="1" grandRow="1" outline="0" fieldPosition="0"/>
    </format>
    <format dxfId="201">
      <pivotArea dataOnly="0" labelOnly="1" outline="0" axis="axisValues" fieldPosition="0"/>
    </format>
  </formats>
  <chartFormats count="1">
    <chartFormat chart="1"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8B4EB37-AC42-4BE3-9593-89510C6BACFC}" name="PivotTable7" cacheId="2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4:H6" firstHeaderRow="1" firstDataRow="1" firstDataCol="1"/>
  <pivotFields count="2">
    <pivotField axis="axisRow" showAll="0">
      <items count="4">
        <item h="1" x="2"/>
        <item x="0"/>
        <item h="1" x="1"/>
        <item t="default"/>
      </items>
    </pivotField>
    <pivotField dataField="1" showAll="0">
      <items count="20">
        <item h="1" x="15"/>
        <item x="8"/>
        <item h="1" x="9"/>
        <item h="1" x="3"/>
        <item h="1" x="2"/>
        <item h="1" x="4"/>
        <item h="1" x="18"/>
        <item h="1" x="5"/>
        <item h="1" x="17"/>
        <item h="1" x="1"/>
        <item h="1" x="12"/>
        <item h="1" x="16"/>
        <item h="1" x="14"/>
        <item h="1" x="6"/>
        <item h="1" x="7"/>
        <item h="1" x="0"/>
        <item h="1" x="11"/>
        <item h="1" x="10"/>
        <item h="1" x="13"/>
        <item t="default"/>
      </items>
    </pivotField>
  </pivotFields>
  <rowFields count="1">
    <field x="0"/>
  </rowFields>
  <rowItems count="2">
    <i>
      <x v="1"/>
    </i>
    <i t="grand">
      <x/>
    </i>
  </rowItems>
  <colItems count="1">
    <i/>
  </colItems>
  <dataFields count="1">
    <dataField name="Sum of Sales" fld="1" baseField="0" baseItem="0"/>
  </dataFields>
  <formats count="6">
    <format dxfId="197">
      <pivotArea type="all" dataOnly="0" outline="0" fieldPosition="0"/>
    </format>
    <format dxfId="196">
      <pivotArea outline="0" collapsedLevelsAreSubtotals="1" fieldPosition="0"/>
    </format>
    <format dxfId="195">
      <pivotArea field="0" type="button" dataOnly="0" labelOnly="1" outline="0" axis="axisRow" fieldPosition="0"/>
    </format>
    <format dxfId="194">
      <pivotArea dataOnly="0" labelOnly="1" fieldPosition="0">
        <references count="1">
          <reference field="0" count="0"/>
        </references>
      </pivotArea>
    </format>
    <format dxfId="193">
      <pivotArea dataOnly="0" labelOnly="1" grandRow="1" outline="0" fieldPosition="0"/>
    </format>
    <format dxfId="192">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6561A0A-15AD-454D-A0B8-C73D0EBCE802}" name="PivotTable12" cacheId="3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M17:N24" firstHeaderRow="1" firstDataRow="1" firstDataCol="1"/>
  <pivotFields count="7">
    <pivotField numFmtId="22" showAll="0">
      <items count="21">
        <item x="0"/>
        <item x="1"/>
        <item x="2"/>
        <item x="3"/>
        <item x="4"/>
        <item x="5"/>
        <item x="6"/>
        <item x="7"/>
        <item x="8"/>
        <item x="9"/>
        <item x="10"/>
        <item x="11"/>
        <item x="12"/>
        <item x="13"/>
        <item x="14"/>
        <item x="15"/>
        <item x="16"/>
        <item x="17"/>
        <item x="18"/>
        <item x="19"/>
        <item t="default"/>
      </items>
    </pivotField>
    <pivotField showAll="0"/>
    <pivotField showAll="0"/>
    <pivotField dataField="1" showAll="0"/>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1">
    <field x="6"/>
  </rowFields>
  <rowItems count="7">
    <i>
      <x v="1"/>
    </i>
    <i>
      <x v="2"/>
    </i>
    <i>
      <x v="3"/>
    </i>
    <i>
      <x v="4"/>
    </i>
    <i>
      <x v="5"/>
    </i>
    <i>
      <x v="6"/>
    </i>
    <i t="grand">
      <x/>
    </i>
  </rowItems>
  <colItems count="1">
    <i/>
  </colItems>
  <dataFields count="1">
    <dataField name="Sum of Sales" fld="3" baseField="0" baseItem="0"/>
  </dataFields>
  <formats count="6">
    <format dxfId="180">
      <pivotArea type="all" dataOnly="0" outline="0" fieldPosition="0"/>
    </format>
    <format dxfId="179">
      <pivotArea outline="0" collapsedLevelsAreSubtotals="1" fieldPosition="0"/>
    </format>
    <format dxfId="178">
      <pivotArea field="6" type="button" dataOnly="0" labelOnly="1" outline="0" axis="axisRow" fieldPosition="0"/>
    </format>
    <format dxfId="177">
      <pivotArea dataOnly="0" labelOnly="1" fieldPosition="0">
        <references count="1">
          <reference field="6" count="6">
            <x v="1"/>
            <x v="2"/>
            <x v="3"/>
            <x v="4"/>
            <x v="5"/>
            <x v="6"/>
          </reference>
        </references>
      </pivotArea>
    </format>
    <format dxfId="176">
      <pivotArea dataOnly="0" labelOnly="1" grandRow="1" outline="0" fieldPosition="0"/>
    </format>
    <format dxfId="175">
      <pivotArea dataOnly="0" labelOnly="1" outline="0" axis="axisValues"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A7BAC0D-4B89-4125-B21D-B6A5FE169C4B}" name="PivotTable10" cacheId="3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M4:N6" firstHeaderRow="1" firstDataRow="1" firstDataCol="1"/>
  <pivotFields count="7">
    <pivotField numFmtId="22" showAll="0">
      <items count="21">
        <item x="0"/>
        <item x="1"/>
        <item x="2"/>
        <item x="3"/>
        <item x="4"/>
        <item x="5"/>
        <item x="6"/>
        <item x="7"/>
        <item x="8"/>
        <item x="9"/>
        <item x="10"/>
        <item x="11"/>
        <item x="12"/>
        <item x="13"/>
        <item x="14"/>
        <item x="15"/>
        <item x="16"/>
        <item x="17"/>
        <item x="18"/>
        <item x="19"/>
        <item t="default"/>
      </items>
    </pivotField>
    <pivotField showAll="0">
      <items count="5">
        <item x="2"/>
        <item x="3"/>
        <item x="1"/>
        <item x="0"/>
        <item t="default"/>
      </items>
    </pivotField>
    <pivotField axis="axisRow" showAll="0">
      <items count="4">
        <item x="2"/>
        <item h="1" x="0"/>
        <item h="1" x="1"/>
        <item t="default"/>
      </items>
    </pivotField>
    <pivotField dataField="1"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2"/>
  </rowFields>
  <rowItems count="2">
    <i>
      <x/>
    </i>
    <i t="grand">
      <x/>
    </i>
  </rowItems>
  <colItems count="1">
    <i/>
  </colItems>
  <dataFields count="1">
    <dataField name="Sum of Sales" fld="3" baseField="0" baseItem="0"/>
  </dataFields>
  <formats count="5">
    <format dxfId="181">
      <pivotArea type="all" dataOnly="0" outline="0" fieldPosition="0"/>
    </format>
    <format dxfId="182">
      <pivotArea outline="0" collapsedLevelsAreSubtotals="1" fieldPosition="0"/>
    </format>
    <format dxfId="183">
      <pivotArea field="1" type="button" dataOnly="0" labelOnly="1" outline="0"/>
    </format>
    <format dxfId="184">
      <pivotArea dataOnly="0" labelOnly="1" grandRow="1" outline="0" fieldPosition="0"/>
    </format>
    <format dxfId="185">
      <pivotArea dataOnly="0" labelOnly="1" outline="0" axis="axisValues"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7A04122-D5DC-4400-A25E-0D0DC84341E8}" name="PivotTable9" cacheId="3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G1:H6" firstHeaderRow="1" firstDataRow="1" firstDataCol="1"/>
  <pivotFields count="7">
    <pivotField numFmtId="22" showAll="0">
      <items count="21">
        <item x="0"/>
        <item x="1"/>
        <item x="2"/>
        <item x="3"/>
        <item x="4"/>
        <item x="5"/>
        <item x="6"/>
        <item x="7"/>
        <item x="8"/>
        <item x="9"/>
        <item x="10"/>
        <item x="11"/>
        <item x="12"/>
        <item x="13"/>
        <item x="14"/>
        <item x="15"/>
        <item x="16"/>
        <item x="17"/>
        <item x="18"/>
        <item x="19"/>
        <item t="default"/>
      </items>
    </pivotField>
    <pivotField axis="axisRow" showAll="0">
      <items count="5">
        <item x="2"/>
        <item x="3"/>
        <item x="1"/>
        <item x="0"/>
        <item t="default"/>
      </items>
    </pivotField>
    <pivotField showAll="0">
      <items count="4">
        <item x="2"/>
        <item x="0"/>
        <item x="1"/>
        <item t="default"/>
      </items>
    </pivotField>
    <pivotField dataField="1"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
  </rowFields>
  <rowItems count="5">
    <i>
      <x/>
    </i>
    <i>
      <x v="1"/>
    </i>
    <i>
      <x v="2"/>
    </i>
    <i>
      <x v="3"/>
    </i>
    <i t="grand">
      <x/>
    </i>
  </rowItems>
  <colItems count="1">
    <i/>
  </colItems>
  <dataFields count="1">
    <dataField name="Sum of Sales" fld="3" baseField="0" baseItem="0"/>
  </dataFields>
  <formats count="6">
    <format dxfId="191">
      <pivotArea type="all" dataOnly="0" outline="0" fieldPosition="0"/>
    </format>
    <format dxfId="190">
      <pivotArea outline="0" collapsedLevelsAreSubtotals="1" fieldPosition="0"/>
    </format>
    <format dxfId="189">
      <pivotArea field="1" type="button" dataOnly="0" labelOnly="1" outline="0" axis="axisRow" fieldPosition="0"/>
    </format>
    <format dxfId="188">
      <pivotArea dataOnly="0" labelOnly="1" fieldPosition="0">
        <references count="1">
          <reference field="1" count="0"/>
        </references>
      </pivotArea>
    </format>
    <format dxfId="187">
      <pivotArea dataOnly="0" labelOnly="1" grandRow="1" outline="0" fieldPosition="0"/>
    </format>
    <format dxfId="186">
      <pivotArea dataOnly="0" labelOnly="1" outline="0" axis="axisValues"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D35235C-B46C-4917-B8BF-B7351F1138EB}" name="PivotTable15" cacheId="4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0" firstHeaderRow="1" firstDataRow="1" firstDataCol="1"/>
  <pivotFields count="7">
    <pivotField numFmtId="22" showAll="0">
      <items count="21">
        <item x="0"/>
        <item x="1"/>
        <item x="2"/>
        <item x="3"/>
        <item x="4"/>
        <item x="5"/>
        <item x="6"/>
        <item x="7"/>
        <item x="8"/>
        <item x="9"/>
        <item x="10"/>
        <item x="11"/>
        <item x="12"/>
        <item x="13"/>
        <item x="14"/>
        <item x="15"/>
        <item x="16"/>
        <item x="17"/>
        <item x="18"/>
        <item x="19"/>
        <item t="default"/>
      </items>
    </pivotField>
    <pivotField showAll="0"/>
    <pivotField showAll="0">
      <items count="4">
        <item x="2"/>
        <item x="0"/>
        <item x="1"/>
        <item t="default"/>
      </items>
    </pivotField>
    <pivotField dataField="1" showAll="0"/>
    <pivotField showAll="0"/>
    <pivotField axis="axisRow" showAll="0">
      <items count="15">
        <item x="0"/>
        <item x="1"/>
        <item x="2"/>
        <item x="3"/>
        <item x="4"/>
        <item x="5"/>
        <item x="6"/>
        <item x="7"/>
        <item x="8"/>
        <item x="9"/>
        <item x="10"/>
        <item x="11"/>
        <item x="12"/>
        <item x="13"/>
        <item t="default"/>
      </items>
    </pivotField>
    <pivotField showAll="0">
      <items count="3">
        <item x="1"/>
        <item x="0"/>
        <item t="default"/>
      </items>
    </pivotField>
  </pivotFields>
  <rowFields count="1">
    <field x="5"/>
  </rowFields>
  <rowItems count="7">
    <i>
      <x v="1"/>
    </i>
    <i>
      <x v="2"/>
    </i>
    <i>
      <x v="3"/>
    </i>
    <i>
      <x v="4"/>
    </i>
    <i>
      <x v="5"/>
    </i>
    <i>
      <x v="6"/>
    </i>
    <i t="grand">
      <x/>
    </i>
  </rowItems>
  <colItems count="1">
    <i/>
  </colItems>
  <dataFields count="1">
    <dataField name="Average of Sales" fld="3" subtotal="average" baseField="5" baseItem="0"/>
  </dataFields>
  <formats count="10">
    <format dxfId="174">
      <pivotArea type="all" dataOnly="0" outline="0" fieldPosition="0"/>
    </format>
    <format dxfId="173">
      <pivotArea outline="0" collapsedLevelsAreSubtotals="1" fieldPosition="0"/>
    </format>
    <format dxfId="172">
      <pivotArea dataOnly="0" labelOnly="1" grandRow="1" outline="0" fieldPosition="0"/>
    </format>
    <format dxfId="171">
      <pivotArea dataOnly="0" labelOnly="1" outline="0" axis="axisValues" fieldPosition="0"/>
    </format>
    <format dxfId="170">
      <pivotArea type="all" dataOnly="0" outline="0" fieldPosition="0"/>
    </format>
    <format dxfId="169">
      <pivotArea outline="0" collapsedLevelsAreSubtotals="1" fieldPosition="0"/>
    </format>
    <format dxfId="168">
      <pivotArea field="5" type="button" dataOnly="0" labelOnly="1" outline="0" axis="axisRow" fieldPosition="0"/>
    </format>
    <format dxfId="167">
      <pivotArea dataOnly="0" labelOnly="1" fieldPosition="0">
        <references count="1">
          <reference field="5" count="6">
            <x v="1"/>
            <x v="2"/>
            <x v="3"/>
            <x v="4"/>
            <x v="5"/>
            <x v="6"/>
          </reference>
        </references>
      </pivotArea>
    </format>
    <format dxfId="166">
      <pivotArea dataOnly="0" labelOnly="1" grandRow="1" outline="0" fieldPosition="0"/>
    </format>
    <format dxfId="165">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763C8394-D1CD-4555-8A04-7C0133954861}" name="PivotTable16" cacheId="4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6" firstHeaderRow="1" firstDataRow="1" firstDataCol="1"/>
  <pivotFields count="7">
    <pivotField numFmtId="22" showAll="0">
      <items count="21">
        <item x="0"/>
        <item x="1"/>
        <item x="2"/>
        <item x="3"/>
        <item x="4"/>
        <item x="5"/>
        <item x="6"/>
        <item x="7"/>
        <item x="8"/>
        <item x="9"/>
        <item x="10"/>
        <item x="11"/>
        <item x="12"/>
        <item x="13"/>
        <item x="14"/>
        <item x="15"/>
        <item x="16"/>
        <item x="17"/>
        <item x="18"/>
        <item x="19"/>
        <item t="default"/>
      </items>
    </pivotField>
    <pivotField showAll="0"/>
    <pivotField axis="axisRow" showAll="0">
      <items count="4">
        <item x="0"/>
        <item x="1"/>
        <item x="2"/>
        <item t="default"/>
      </items>
    </pivotField>
    <pivotField dataField="1" showAll="0"/>
    <pivotField showAll="0"/>
    <pivotField showAll="0" defaultSubtotal="0">
      <items count="14">
        <item x="0"/>
        <item x="1"/>
        <item x="2"/>
        <item x="3"/>
        <item x="4"/>
        <item x="5"/>
        <item x="6"/>
        <item x="7"/>
        <item x="8"/>
        <item x="9"/>
        <item x="10"/>
        <item x="11"/>
        <item x="12"/>
        <item x="13"/>
      </items>
    </pivotField>
    <pivotField axis="axisRow" showAll="0">
      <items count="3">
        <item sd="0" x="0"/>
        <item n="Fruits" sd="0" x="1"/>
        <item t="default"/>
      </items>
    </pivotField>
  </pivotFields>
  <rowFields count="2">
    <field x="6"/>
    <field x="2"/>
  </rowFields>
  <rowItems count="3">
    <i>
      <x/>
    </i>
    <i>
      <x v="1"/>
    </i>
    <i t="grand">
      <x/>
    </i>
  </rowItems>
  <colItems count="1">
    <i/>
  </colItems>
  <dataFields count="1">
    <dataField name="Sum of Sales" fld="3" baseField="0" baseItem="0"/>
  </dataFields>
  <formats count="6">
    <format dxfId="164">
      <pivotArea type="all" dataOnly="0" outline="0" fieldPosition="0"/>
    </format>
    <format dxfId="163">
      <pivotArea outline="0" collapsedLevelsAreSubtotals="1" fieldPosition="0"/>
    </format>
    <format dxfId="162">
      <pivotArea field="2" type="button" dataOnly="0" labelOnly="1" outline="0" axis="axisRow" fieldPosition="1"/>
    </format>
    <format dxfId="161">
      <pivotArea dataOnly="0" labelOnly="1" fieldPosition="0">
        <references count="1">
          <reference field="2" count="0"/>
        </references>
      </pivotArea>
    </format>
    <format dxfId="160">
      <pivotArea dataOnly="0" labelOnly="1" grandRow="1" outline="0" fieldPosition="0"/>
    </format>
    <format dxfId="159">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79F796F1-3CCF-4633-844F-594CCDC5588B}" sourceName="Product">
  <pivotTables>
    <pivotTable tabId="4" name="PivotTable7"/>
  </pivotTables>
  <data>
    <tabular pivotCacheId="1642068795">
      <items count="3">
        <i x="2"/>
        <i x="0" s="1"/>
        <i x="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1" xr10:uid="{5353AF80-38C1-486D-9792-33B446F29B01}" sourceName="Product">
  <pivotTables>
    <pivotTable tabId="6" name="PivotTable10"/>
  </pivotTables>
  <data>
    <tabular pivotCacheId="824678847">
      <items count="3">
        <i x="2" s="1"/>
        <i x="0"/>
        <i x="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xr10:uid="{5E163F25-8DDC-4799-9C89-BC6FF7444CE9}" cache="Slicer_Product" caption="Product"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1" xr10:uid="{BBF2CFAD-ECBE-4D18-A054-EB0A4FA9FF6B}" cache="Slicer_Product1" caption="Product"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3" Type="http://schemas.openxmlformats.org/officeDocument/2006/relationships/pivotTable" Target="../pivotTables/pivotTable6.xml"/><Relationship Id="rId2" Type="http://schemas.openxmlformats.org/officeDocument/2006/relationships/pivotTable" Target="../pivotTables/pivotTable5.xml"/><Relationship Id="rId1" Type="http://schemas.openxmlformats.org/officeDocument/2006/relationships/pivotTable" Target="../pivotTables/pivotTable4.xml"/><Relationship Id="rId5" Type="http://schemas.microsoft.com/office/2007/relationships/slicer" Target="../slicers/slicer2.xml"/><Relationship Id="rId4" Type="http://schemas.openxmlformats.org/officeDocument/2006/relationships/drawing" Target="../drawings/drawing3.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7.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8FACCA-19CD-4853-A50D-6EE854B570AF}">
  <dimension ref="A1:H21"/>
  <sheetViews>
    <sheetView workbookViewId="0">
      <selection sqref="A1:E21"/>
    </sheetView>
  </sheetViews>
  <sheetFormatPr defaultRowHeight="14.4" x14ac:dyDescent="0.3"/>
  <cols>
    <col min="1" max="1" width="23.109375" customWidth="1"/>
    <col min="2" max="2" width="11.88671875" customWidth="1"/>
    <col min="3" max="3" width="12.77734375" customWidth="1"/>
    <col min="4" max="4" width="13.109375" customWidth="1"/>
    <col min="5" max="5" width="15.109375" customWidth="1"/>
  </cols>
  <sheetData>
    <row r="1" spans="1:8" ht="18" x14ac:dyDescent="0.3">
      <c r="A1" s="2" t="s">
        <v>0</v>
      </c>
      <c r="B1" s="1" t="s">
        <v>1</v>
      </c>
      <c r="C1" s="3" t="s">
        <v>2</v>
      </c>
      <c r="D1" s="4" t="s">
        <v>3</v>
      </c>
      <c r="E1" s="13" t="s">
        <v>4</v>
      </c>
      <c r="H1" s="1"/>
    </row>
    <row r="2" spans="1:8" ht="18" x14ac:dyDescent="0.35">
      <c r="A2" s="6">
        <v>45292</v>
      </c>
      <c r="B2" s="7" t="s">
        <v>5</v>
      </c>
      <c r="C2" s="7" t="s">
        <v>6</v>
      </c>
      <c r="D2" s="8">
        <v>456</v>
      </c>
      <c r="E2" s="8">
        <v>93</v>
      </c>
      <c r="H2" s="7"/>
    </row>
    <row r="3" spans="1:8" ht="18" x14ac:dyDescent="0.35">
      <c r="A3" s="6">
        <v>45301.526319444441</v>
      </c>
      <c r="B3" s="7" t="s">
        <v>7</v>
      </c>
      <c r="C3" s="7" t="s">
        <v>8</v>
      </c>
      <c r="D3" s="8">
        <v>348</v>
      </c>
      <c r="E3" s="8">
        <v>56</v>
      </c>
      <c r="H3" s="7"/>
    </row>
    <row r="4" spans="1:8" ht="18" x14ac:dyDescent="0.35">
      <c r="A4" s="6">
        <v>45311.052627314813</v>
      </c>
      <c r="B4" s="7" t="s">
        <v>7</v>
      </c>
      <c r="C4" s="7" t="s">
        <v>6</v>
      </c>
      <c r="D4" s="8">
        <v>247</v>
      </c>
      <c r="E4" s="8">
        <v>76</v>
      </c>
      <c r="H4" s="7"/>
    </row>
    <row r="5" spans="1:8" ht="18" x14ac:dyDescent="0.35">
      <c r="A5" s="6">
        <v>45320.578946759262</v>
      </c>
      <c r="B5" s="7" t="s">
        <v>5</v>
      </c>
      <c r="C5" s="7" t="s">
        <v>9</v>
      </c>
      <c r="D5" s="8">
        <v>230</v>
      </c>
      <c r="E5" s="8">
        <v>37</v>
      </c>
      <c r="H5" s="7"/>
    </row>
    <row r="6" spans="1:8" ht="18" x14ac:dyDescent="0.35">
      <c r="A6" s="6">
        <v>45330.105266203704</v>
      </c>
      <c r="B6" s="7" t="s">
        <v>5</v>
      </c>
      <c r="C6" s="7" t="s">
        <v>6</v>
      </c>
      <c r="D6" s="8">
        <v>281</v>
      </c>
      <c r="E6" s="8">
        <v>50</v>
      </c>
      <c r="H6" s="7"/>
    </row>
    <row r="7" spans="1:8" ht="18" x14ac:dyDescent="0.35">
      <c r="A7" s="6">
        <v>45339.631574074076</v>
      </c>
      <c r="B7" s="7" t="s">
        <v>5</v>
      </c>
      <c r="C7" s="7" t="s">
        <v>8</v>
      </c>
      <c r="D7" s="8">
        <v>334</v>
      </c>
      <c r="E7" s="8">
        <v>52</v>
      </c>
      <c r="H7" s="7"/>
    </row>
    <row r="8" spans="1:8" ht="18" x14ac:dyDescent="0.35">
      <c r="A8" s="6">
        <v>45349.157893518517</v>
      </c>
      <c r="B8" s="7" t="s">
        <v>7</v>
      </c>
      <c r="C8" s="7" t="s">
        <v>9</v>
      </c>
      <c r="D8" s="8">
        <v>417</v>
      </c>
      <c r="E8" s="8">
        <v>29</v>
      </c>
      <c r="H8" s="7"/>
    </row>
    <row r="9" spans="1:8" ht="18" x14ac:dyDescent="0.35">
      <c r="A9" s="6">
        <v>45358.684212962966</v>
      </c>
      <c r="B9" s="7" t="s">
        <v>5</v>
      </c>
      <c r="C9" s="7" t="s">
        <v>9</v>
      </c>
      <c r="D9" s="8">
        <v>441</v>
      </c>
      <c r="E9" s="8">
        <v>44</v>
      </c>
      <c r="H9" s="7"/>
    </row>
    <row r="10" spans="1:8" ht="18" x14ac:dyDescent="0.35">
      <c r="A10" s="6">
        <v>45368.210520833331</v>
      </c>
      <c r="B10" s="7" t="s">
        <v>7</v>
      </c>
      <c r="C10" s="7" t="s">
        <v>6</v>
      </c>
      <c r="D10" s="8">
        <v>76</v>
      </c>
      <c r="E10" s="8">
        <v>63</v>
      </c>
      <c r="H10" s="7"/>
    </row>
    <row r="11" spans="1:8" ht="18" x14ac:dyDescent="0.35">
      <c r="A11" s="6">
        <v>45377.736840277779</v>
      </c>
      <c r="B11" s="7" t="s">
        <v>5</v>
      </c>
      <c r="C11" s="7" t="s">
        <v>8</v>
      </c>
      <c r="D11" s="8">
        <v>441</v>
      </c>
      <c r="E11" s="8">
        <v>79</v>
      </c>
      <c r="H11" s="7"/>
    </row>
    <row r="12" spans="1:8" ht="18" x14ac:dyDescent="0.35">
      <c r="A12" s="6">
        <v>45387.263159722221</v>
      </c>
      <c r="B12" s="7" t="s">
        <v>7</v>
      </c>
      <c r="C12" s="7" t="s">
        <v>6</v>
      </c>
      <c r="D12" s="8">
        <v>205</v>
      </c>
      <c r="E12" s="8">
        <v>23</v>
      </c>
      <c r="H12" s="7"/>
    </row>
    <row r="13" spans="1:8" ht="18" x14ac:dyDescent="0.35">
      <c r="A13" s="6">
        <v>45396.789479166669</v>
      </c>
      <c r="B13" s="7" t="s">
        <v>5</v>
      </c>
      <c r="C13" s="7" t="s">
        <v>8</v>
      </c>
      <c r="D13" s="8">
        <v>483</v>
      </c>
      <c r="E13" s="8">
        <v>97</v>
      </c>
      <c r="H13" s="7"/>
    </row>
    <row r="14" spans="1:8" ht="18" x14ac:dyDescent="0.35">
      <c r="A14" s="6">
        <v>45406.315787037034</v>
      </c>
      <c r="B14" s="7" t="s">
        <v>10</v>
      </c>
      <c r="C14" s="7" t="s">
        <v>6</v>
      </c>
      <c r="D14" s="8">
        <v>467</v>
      </c>
      <c r="E14" s="8">
        <v>97</v>
      </c>
      <c r="H14" s="7"/>
    </row>
    <row r="15" spans="1:8" ht="18" x14ac:dyDescent="0.35">
      <c r="A15" s="6">
        <v>45415.842106481483</v>
      </c>
      <c r="B15" s="7" t="s">
        <v>5</v>
      </c>
      <c r="C15" s="7" t="s">
        <v>6</v>
      </c>
      <c r="D15" s="8">
        <v>380</v>
      </c>
      <c r="E15" s="8">
        <v>92</v>
      </c>
      <c r="H15" s="7"/>
    </row>
    <row r="16" spans="1:8" ht="18" x14ac:dyDescent="0.35">
      <c r="A16" s="6">
        <v>45425.368425925924</v>
      </c>
      <c r="B16" s="7" t="s">
        <v>7</v>
      </c>
      <c r="C16" s="7" t="s">
        <v>8</v>
      </c>
      <c r="D16" s="8">
        <v>497</v>
      </c>
      <c r="E16" s="8">
        <v>71</v>
      </c>
      <c r="H16" s="7"/>
    </row>
    <row r="17" spans="1:8" ht="18" x14ac:dyDescent="0.35">
      <c r="A17" s="6">
        <v>45434.894733796296</v>
      </c>
      <c r="B17" s="7" t="s">
        <v>7</v>
      </c>
      <c r="C17" s="7" t="s">
        <v>6</v>
      </c>
      <c r="D17" s="8">
        <v>409</v>
      </c>
      <c r="E17" s="8">
        <v>81</v>
      </c>
      <c r="H17" s="7"/>
    </row>
    <row r="18" spans="1:8" ht="18" x14ac:dyDescent="0.35">
      <c r="A18" s="6">
        <v>45444.421053240738</v>
      </c>
      <c r="B18" s="7" t="s">
        <v>5</v>
      </c>
      <c r="C18" s="7" t="s">
        <v>8</v>
      </c>
      <c r="D18" s="8">
        <v>53</v>
      </c>
      <c r="E18" s="8">
        <v>45</v>
      </c>
      <c r="H18" s="7"/>
    </row>
    <row r="19" spans="1:8" ht="18" x14ac:dyDescent="0.35">
      <c r="A19" s="6">
        <v>45453.947372685187</v>
      </c>
      <c r="B19" s="7" t="s">
        <v>5</v>
      </c>
      <c r="C19" s="7" t="s">
        <v>9</v>
      </c>
      <c r="D19" s="8">
        <v>398</v>
      </c>
      <c r="E19" s="8">
        <v>33</v>
      </c>
      <c r="H19" s="7"/>
    </row>
    <row r="20" spans="1:8" ht="18" x14ac:dyDescent="0.35">
      <c r="A20" s="6">
        <v>45463.473680555559</v>
      </c>
      <c r="B20" s="7" t="s">
        <v>11</v>
      </c>
      <c r="C20" s="7" t="s">
        <v>8</v>
      </c>
      <c r="D20" s="8">
        <v>347</v>
      </c>
      <c r="E20" s="8">
        <v>35</v>
      </c>
      <c r="H20" s="7"/>
    </row>
    <row r="21" spans="1:8" ht="18" x14ac:dyDescent="0.35">
      <c r="A21" s="6">
        <v>45473</v>
      </c>
      <c r="B21" s="7" t="s">
        <v>7</v>
      </c>
      <c r="C21" s="7" t="s">
        <v>9</v>
      </c>
      <c r="D21" s="8">
        <v>319</v>
      </c>
      <c r="E21" s="8">
        <v>45</v>
      </c>
      <c r="H21" s="7"/>
    </row>
  </sheetData>
  <conditionalFormatting sqref="H2:H21">
    <cfRule type="cellIs" dxfId="214" priority="2" operator="equal">
      <formula>"East"</formula>
    </cfRule>
    <cfRule type="cellIs" dxfId="215" priority="1" operator="equal">
      <formula>"North"</formula>
    </cfRule>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4E680C-7C3A-4F59-B2A1-164E27B7AC78}">
  <dimension ref="A1:E8"/>
  <sheetViews>
    <sheetView workbookViewId="0">
      <selection activeCell="E1" sqref="E1"/>
    </sheetView>
  </sheetViews>
  <sheetFormatPr defaultRowHeight="14.4" x14ac:dyDescent="0.3"/>
  <cols>
    <col min="1" max="1" width="15.109375" bestFit="1" customWidth="1"/>
    <col min="2" max="2" width="14.44140625" bestFit="1" customWidth="1"/>
    <col min="5" max="5" width="106.77734375" customWidth="1"/>
  </cols>
  <sheetData>
    <row r="1" spans="1:5" ht="18" x14ac:dyDescent="0.35">
      <c r="E1" s="12" t="s">
        <v>16</v>
      </c>
    </row>
    <row r="3" spans="1:5" ht="18" x14ac:dyDescent="0.35">
      <c r="A3" s="17" t="s">
        <v>13</v>
      </c>
      <c r="B3" s="18" t="s">
        <v>15</v>
      </c>
    </row>
    <row r="4" spans="1:5" ht="18" x14ac:dyDescent="0.35">
      <c r="A4" s="19" t="s">
        <v>10</v>
      </c>
      <c r="B4" s="20">
        <v>467</v>
      </c>
    </row>
    <row r="5" spans="1:5" ht="18" x14ac:dyDescent="0.35">
      <c r="A5" s="19" t="s">
        <v>11</v>
      </c>
      <c r="B5" s="20">
        <v>347</v>
      </c>
    </row>
    <row r="6" spans="1:5" ht="18" x14ac:dyDescent="0.35">
      <c r="A6" s="19" t="s">
        <v>7</v>
      </c>
      <c r="B6" s="20">
        <v>2518</v>
      </c>
    </row>
    <row r="7" spans="1:5" ht="18" x14ac:dyDescent="0.35">
      <c r="A7" s="19" t="s">
        <v>5</v>
      </c>
      <c r="B7" s="20">
        <v>3497</v>
      </c>
    </row>
    <row r="8" spans="1:5" ht="18" x14ac:dyDescent="0.35">
      <c r="A8" s="19" t="s">
        <v>14</v>
      </c>
      <c r="B8" s="20">
        <v>6829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E850A2-4E8F-4841-9E21-F22D6A029B47}">
  <dimension ref="A1:H21"/>
  <sheetViews>
    <sheetView workbookViewId="0">
      <selection sqref="A1:E21"/>
    </sheetView>
  </sheetViews>
  <sheetFormatPr defaultRowHeight="14.4" x14ac:dyDescent="0.3"/>
  <cols>
    <col min="1" max="1" width="19.109375" bestFit="1" customWidth="1"/>
    <col min="2" max="2" width="8.33203125" bestFit="1" customWidth="1"/>
    <col min="3" max="3" width="10.5546875" bestFit="1" customWidth="1"/>
    <col min="4" max="4" width="6.44140625" bestFit="1" customWidth="1"/>
    <col min="5" max="5" width="10.33203125" bestFit="1" customWidth="1"/>
    <col min="6" max="6" width="11.6640625" customWidth="1"/>
    <col min="8" max="8" width="89.33203125" customWidth="1"/>
  </cols>
  <sheetData>
    <row r="1" spans="1:8" ht="18" x14ac:dyDescent="0.35">
      <c r="A1" s="1" t="s">
        <v>0</v>
      </c>
      <c r="B1" s="2" t="s">
        <v>1</v>
      </c>
      <c r="C1" s="3" t="s">
        <v>2</v>
      </c>
      <c r="D1" s="4" t="s">
        <v>3</v>
      </c>
      <c r="E1" s="5" t="s">
        <v>4</v>
      </c>
      <c r="F1" s="10"/>
      <c r="H1" s="12" t="s">
        <v>12</v>
      </c>
    </row>
    <row r="2" spans="1:8" ht="18" x14ac:dyDescent="0.35">
      <c r="A2" s="6">
        <v>45292</v>
      </c>
      <c r="B2" s="7" t="s">
        <v>5</v>
      </c>
      <c r="C2" s="7" t="s">
        <v>6</v>
      </c>
      <c r="D2" s="8">
        <v>456</v>
      </c>
      <c r="E2" s="9">
        <v>93</v>
      </c>
    </row>
    <row r="3" spans="1:8" ht="18" x14ac:dyDescent="0.35">
      <c r="A3" s="6">
        <v>45301.526319444441</v>
      </c>
      <c r="B3" s="7" t="s">
        <v>7</v>
      </c>
      <c r="C3" s="7" t="s">
        <v>8</v>
      </c>
      <c r="D3" s="8">
        <v>348</v>
      </c>
      <c r="E3" s="9">
        <v>56</v>
      </c>
    </row>
    <row r="4" spans="1:8" ht="18" x14ac:dyDescent="0.35">
      <c r="A4" s="6">
        <v>45311.052627314813</v>
      </c>
      <c r="B4" s="7" t="s">
        <v>7</v>
      </c>
      <c r="C4" s="7" t="s">
        <v>6</v>
      </c>
      <c r="D4" s="8">
        <v>247</v>
      </c>
      <c r="E4" s="9">
        <v>76</v>
      </c>
    </row>
    <row r="5" spans="1:8" ht="18" x14ac:dyDescent="0.35">
      <c r="A5" s="6">
        <v>45320.578946759262</v>
      </c>
      <c r="B5" s="7" t="s">
        <v>5</v>
      </c>
      <c r="C5" s="7" t="s">
        <v>9</v>
      </c>
      <c r="D5" s="8">
        <v>230</v>
      </c>
      <c r="E5" s="9">
        <v>37</v>
      </c>
    </row>
    <row r="6" spans="1:8" ht="18" x14ac:dyDescent="0.35">
      <c r="A6" s="6">
        <v>45330.105266203704</v>
      </c>
      <c r="B6" s="7" t="s">
        <v>5</v>
      </c>
      <c r="C6" s="7" t="s">
        <v>6</v>
      </c>
      <c r="D6" s="8">
        <v>281</v>
      </c>
      <c r="E6" s="9">
        <v>50</v>
      </c>
    </row>
    <row r="7" spans="1:8" ht="18" x14ac:dyDescent="0.35">
      <c r="A7" s="6">
        <v>45339.631574074076</v>
      </c>
      <c r="B7" s="7" t="s">
        <v>5</v>
      </c>
      <c r="C7" s="7" t="s">
        <v>8</v>
      </c>
      <c r="D7" s="8">
        <v>334</v>
      </c>
      <c r="E7" s="9">
        <v>52</v>
      </c>
    </row>
    <row r="8" spans="1:8" ht="18" x14ac:dyDescent="0.35">
      <c r="A8" s="6">
        <v>45349.157893518517</v>
      </c>
      <c r="B8" s="7" t="s">
        <v>7</v>
      </c>
      <c r="C8" s="7" t="s">
        <v>9</v>
      </c>
      <c r="D8" s="8">
        <v>417</v>
      </c>
      <c r="E8" s="9">
        <v>29</v>
      </c>
    </row>
    <row r="9" spans="1:8" ht="18" x14ac:dyDescent="0.35">
      <c r="A9" s="6">
        <v>45358.684212962966</v>
      </c>
      <c r="B9" s="7" t="s">
        <v>5</v>
      </c>
      <c r="C9" s="7" t="s">
        <v>9</v>
      </c>
      <c r="D9" s="8">
        <v>441</v>
      </c>
      <c r="E9" s="9">
        <v>44</v>
      </c>
    </row>
    <row r="10" spans="1:8" ht="18" x14ac:dyDescent="0.35">
      <c r="A10" s="6">
        <v>45368.210520833331</v>
      </c>
      <c r="B10" s="7" t="s">
        <v>7</v>
      </c>
      <c r="C10" s="7" t="s">
        <v>6</v>
      </c>
      <c r="D10" s="8">
        <v>76</v>
      </c>
      <c r="E10" s="9">
        <v>63</v>
      </c>
    </row>
    <row r="11" spans="1:8" ht="18" x14ac:dyDescent="0.35">
      <c r="A11" s="6">
        <v>45377.736840277779</v>
      </c>
      <c r="B11" s="7" t="s">
        <v>5</v>
      </c>
      <c r="C11" s="7" t="s">
        <v>8</v>
      </c>
      <c r="D11" s="8">
        <v>441</v>
      </c>
      <c r="E11" s="9">
        <v>79</v>
      </c>
    </row>
    <row r="12" spans="1:8" ht="18" x14ac:dyDescent="0.35">
      <c r="A12" s="6">
        <v>45387.263159722221</v>
      </c>
      <c r="B12" s="7" t="s">
        <v>7</v>
      </c>
      <c r="C12" s="7" t="s">
        <v>6</v>
      </c>
      <c r="D12" s="8">
        <v>205</v>
      </c>
      <c r="E12" s="9">
        <v>23</v>
      </c>
    </row>
    <row r="13" spans="1:8" ht="18" x14ac:dyDescent="0.35">
      <c r="A13" s="6">
        <v>45396.789479166669</v>
      </c>
      <c r="B13" s="7" t="s">
        <v>5</v>
      </c>
      <c r="C13" s="7" t="s">
        <v>8</v>
      </c>
      <c r="D13" s="8">
        <v>483</v>
      </c>
      <c r="E13" s="9">
        <v>97</v>
      </c>
    </row>
    <row r="14" spans="1:8" ht="18" x14ac:dyDescent="0.35">
      <c r="A14" s="6">
        <v>45406.315787037034</v>
      </c>
      <c r="B14" s="7" t="s">
        <v>10</v>
      </c>
      <c r="C14" s="7" t="s">
        <v>6</v>
      </c>
      <c r="D14" s="8">
        <v>467</v>
      </c>
      <c r="E14" s="9">
        <v>97</v>
      </c>
    </row>
    <row r="15" spans="1:8" ht="18" x14ac:dyDescent="0.35">
      <c r="A15" s="6">
        <v>45415.842106481483</v>
      </c>
      <c r="B15" s="7" t="s">
        <v>5</v>
      </c>
      <c r="C15" s="7" t="s">
        <v>6</v>
      </c>
      <c r="D15" s="8">
        <v>380</v>
      </c>
      <c r="E15" s="9">
        <v>92</v>
      </c>
    </row>
    <row r="16" spans="1:8" ht="18" x14ac:dyDescent="0.35">
      <c r="A16" s="6">
        <v>45425.368425925924</v>
      </c>
      <c r="B16" s="7" t="s">
        <v>7</v>
      </c>
      <c r="C16" s="7" t="s">
        <v>8</v>
      </c>
      <c r="D16" s="8">
        <v>497</v>
      </c>
      <c r="E16" s="9">
        <v>71</v>
      </c>
    </row>
    <row r="17" spans="1:5" ht="18" x14ac:dyDescent="0.35">
      <c r="A17" s="6">
        <v>45434.894733796296</v>
      </c>
      <c r="B17" s="7" t="s">
        <v>7</v>
      </c>
      <c r="C17" s="7" t="s">
        <v>6</v>
      </c>
      <c r="D17" s="8">
        <v>409</v>
      </c>
      <c r="E17" s="9">
        <v>81</v>
      </c>
    </row>
    <row r="18" spans="1:5" ht="18" x14ac:dyDescent="0.35">
      <c r="A18" s="6">
        <v>45444.421053240738</v>
      </c>
      <c r="B18" s="7" t="s">
        <v>5</v>
      </c>
      <c r="C18" s="7" t="s">
        <v>8</v>
      </c>
      <c r="D18" s="8">
        <v>53</v>
      </c>
      <c r="E18" s="9">
        <v>45</v>
      </c>
    </row>
    <row r="19" spans="1:5" ht="18" x14ac:dyDescent="0.35">
      <c r="A19" s="6">
        <v>45453.947372685187</v>
      </c>
      <c r="B19" s="7" t="s">
        <v>5</v>
      </c>
      <c r="C19" s="7" t="s">
        <v>9</v>
      </c>
      <c r="D19" s="8">
        <v>398</v>
      </c>
      <c r="E19" s="9">
        <v>33</v>
      </c>
    </row>
    <row r="20" spans="1:5" ht="18" x14ac:dyDescent="0.35">
      <c r="A20" s="6">
        <v>45463.473680555559</v>
      </c>
      <c r="B20" s="7" t="s">
        <v>11</v>
      </c>
      <c r="C20" s="7" t="s">
        <v>8</v>
      </c>
      <c r="D20" s="8">
        <v>347</v>
      </c>
      <c r="E20" s="9">
        <v>35</v>
      </c>
    </row>
    <row r="21" spans="1:5" ht="18" x14ac:dyDescent="0.35">
      <c r="A21" s="6">
        <v>45473</v>
      </c>
      <c r="B21" s="7" t="s">
        <v>7</v>
      </c>
      <c r="C21" s="7" t="s">
        <v>9</v>
      </c>
      <c r="D21" s="8">
        <v>319</v>
      </c>
      <c r="E21" s="9">
        <v>45</v>
      </c>
    </row>
  </sheetData>
  <conditionalFormatting sqref="D2:D21">
    <cfRule type="cellIs" dxfId="216" priority="1" operator="greaterThan">
      <formula>400</formula>
    </cfRule>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0966A0-2CF2-4FE7-894A-0D60DF599F15}">
  <dimension ref="A1:E30"/>
  <sheetViews>
    <sheetView workbookViewId="0">
      <selection activeCell="A9" sqref="A9"/>
    </sheetView>
  </sheetViews>
  <sheetFormatPr defaultRowHeight="14.4" x14ac:dyDescent="0.3"/>
  <cols>
    <col min="1" max="1" width="15.109375" bestFit="1" customWidth="1"/>
    <col min="2" max="2" width="14.44140625" bestFit="1" customWidth="1"/>
    <col min="5" max="5" width="97.88671875" customWidth="1"/>
  </cols>
  <sheetData>
    <row r="1" spans="1:5" ht="18" x14ac:dyDescent="0.35">
      <c r="E1" s="12" t="s">
        <v>23</v>
      </c>
    </row>
    <row r="3" spans="1:5" ht="18" x14ac:dyDescent="0.35">
      <c r="A3" s="14" t="s">
        <v>13</v>
      </c>
      <c r="B3" s="11" t="s">
        <v>15</v>
      </c>
    </row>
    <row r="4" spans="1:5" ht="18" x14ac:dyDescent="0.35">
      <c r="A4" s="15" t="s">
        <v>17</v>
      </c>
      <c r="B4" s="16">
        <v>1281</v>
      </c>
    </row>
    <row r="5" spans="1:5" ht="18" x14ac:dyDescent="0.35">
      <c r="A5" s="15" t="s">
        <v>18</v>
      </c>
      <c r="B5" s="16">
        <v>1032</v>
      </c>
    </row>
    <row r="6" spans="1:5" ht="18" x14ac:dyDescent="0.35">
      <c r="A6" s="15" t="s">
        <v>19</v>
      </c>
      <c r="B6" s="16">
        <v>958</v>
      </c>
    </row>
    <row r="7" spans="1:5" ht="18" x14ac:dyDescent="0.35">
      <c r="A7" s="15" t="s">
        <v>20</v>
      </c>
      <c r="B7" s="16">
        <v>1155</v>
      </c>
    </row>
    <row r="8" spans="1:5" ht="18" x14ac:dyDescent="0.35">
      <c r="A8" s="15" t="s">
        <v>21</v>
      </c>
      <c r="B8" s="16">
        <v>1286</v>
      </c>
    </row>
    <row r="9" spans="1:5" ht="18" x14ac:dyDescent="0.35">
      <c r="A9" s="15" t="s">
        <v>22</v>
      </c>
      <c r="B9" s="16">
        <v>1117</v>
      </c>
    </row>
    <row r="10" spans="1:5" ht="18" x14ac:dyDescent="0.35">
      <c r="A10" s="15" t="s">
        <v>14</v>
      </c>
      <c r="B10" s="16">
        <v>6829</v>
      </c>
    </row>
    <row r="11" spans="1:5" ht="18" x14ac:dyDescent="0.35"/>
    <row r="12" spans="1:5" ht="18" x14ac:dyDescent="0.35"/>
    <row r="13" spans="1:5" ht="18" x14ac:dyDescent="0.35"/>
    <row r="14" spans="1:5" ht="18" x14ac:dyDescent="0.35"/>
    <row r="15" spans="1:5" ht="18" x14ac:dyDescent="0.35"/>
    <row r="16" spans="1:5" ht="18" x14ac:dyDescent="0.35"/>
    <row r="17" ht="18" x14ac:dyDescent="0.35"/>
    <row r="18" ht="18" x14ac:dyDescent="0.35"/>
    <row r="19" ht="18" x14ac:dyDescent="0.35"/>
    <row r="20" ht="18" x14ac:dyDescent="0.35"/>
    <row r="21" ht="18" x14ac:dyDescent="0.35"/>
    <row r="22" ht="18" x14ac:dyDescent="0.35"/>
    <row r="23" ht="18" x14ac:dyDescent="0.35"/>
    <row r="24" ht="18" x14ac:dyDescent="0.35"/>
    <row r="25" ht="18" x14ac:dyDescent="0.35"/>
    <row r="26" ht="18" x14ac:dyDescent="0.35"/>
    <row r="27" ht="18" x14ac:dyDescent="0.35"/>
    <row r="28" ht="18" x14ac:dyDescent="0.35"/>
    <row r="29" ht="18" x14ac:dyDescent="0.35"/>
    <row r="30" ht="18" x14ac:dyDescent="0.35"/>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53EC14-D07B-49F7-93FB-526B6F89A94E}">
  <dimension ref="A1:J21"/>
  <sheetViews>
    <sheetView workbookViewId="0">
      <selection activeCell="G15" sqref="G15"/>
    </sheetView>
  </sheetViews>
  <sheetFormatPr defaultRowHeight="14.4" x14ac:dyDescent="0.3"/>
  <cols>
    <col min="1" max="1" width="19.109375" bestFit="1" customWidth="1"/>
    <col min="2" max="2" width="8.33203125" bestFit="1" customWidth="1"/>
    <col min="3" max="3" width="10.5546875" bestFit="1" customWidth="1"/>
    <col min="4" max="4" width="6.44140625" bestFit="1" customWidth="1"/>
    <col min="5" max="5" width="10.33203125" bestFit="1" customWidth="1"/>
    <col min="7" max="7" width="15.109375" bestFit="1" customWidth="1"/>
    <col min="8" max="8" width="14.44140625" bestFit="1" customWidth="1"/>
    <col min="9" max="9" width="12.6640625" customWidth="1"/>
    <col min="10" max="10" width="76.5546875" bestFit="1" customWidth="1"/>
    <col min="13" max="13" width="12.5546875" bestFit="1" customWidth="1"/>
  </cols>
  <sheetData>
    <row r="1" spans="1:10" ht="18" x14ac:dyDescent="0.35">
      <c r="A1" s="2" t="s">
        <v>0</v>
      </c>
      <c r="B1" s="1" t="s">
        <v>1</v>
      </c>
      <c r="C1" s="3" t="s">
        <v>2</v>
      </c>
      <c r="D1" s="4" t="s">
        <v>3</v>
      </c>
      <c r="E1" s="13" t="s">
        <v>4</v>
      </c>
      <c r="J1" s="12" t="s">
        <v>24</v>
      </c>
    </row>
    <row r="2" spans="1:10" ht="18" x14ac:dyDescent="0.35">
      <c r="A2" s="6">
        <v>45292</v>
      </c>
      <c r="B2" s="7" t="s">
        <v>5</v>
      </c>
      <c r="C2" s="7" t="s">
        <v>6</v>
      </c>
      <c r="D2" s="8">
        <v>456</v>
      </c>
      <c r="E2" s="8">
        <v>93</v>
      </c>
    </row>
    <row r="3" spans="1:10" ht="18" x14ac:dyDescent="0.35">
      <c r="A3" s="6">
        <v>45301.526319444441</v>
      </c>
      <c r="B3" s="7" t="s">
        <v>7</v>
      </c>
      <c r="C3" s="7" t="s">
        <v>8</v>
      </c>
      <c r="D3" s="8">
        <v>348</v>
      </c>
      <c r="E3" s="8">
        <v>56</v>
      </c>
    </row>
    <row r="4" spans="1:10" ht="18" x14ac:dyDescent="0.35">
      <c r="A4" s="6">
        <v>45311.052627314813</v>
      </c>
      <c r="B4" s="7" t="s">
        <v>7</v>
      </c>
      <c r="C4" s="7" t="s">
        <v>6</v>
      </c>
      <c r="D4" s="8">
        <v>247</v>
      </c>
      <c r="E4" s="8">
        <v>76</v>
      </c>
      <c r="G4" s="14" t="s">
        <v>13</v>
      </c>
      <c r="H4" s="11" t="s">
        <v>15</v>
      </c>
    </row>
    <row r="5" spans="1:10" ht="18" x14ac:dyDescent="0.35">
      <c r="A5" s="6">
        <v>45320.578946759262</v>
      </c>
      <c r="B5" s="7" t="s">
        <v>5</v>
      </c>
      <c r="C5" s="7" t="s">
        <v>9</v>
      </c>
      <c r="D5" s="8">
        <v>230</v>
      </c>
      <c r="E5" s="8">
        <v>37</v>
      </c>
      <c r="G5" s="15" t="s">
        <v>6</v>
      </c>
      <c r="H5" s="16">
        <v>2521</v>
      </c>
    </row>
    <row r="6" spans="1:10" ht="18" x14ac:dyDescent="0.35">
      <c r="A6" s="6">
        <v>45330.105266203704</v>
      </c>
      <c r="B6" s="7" t="s">
        <v>5</v>
      </c>
      <c r="C6" s="7" t="s">
        <v>6</v>
      </c>
      <c r="D6" s="8">
        <v>281</v>
      </c>
      <c r="E6" s="8">
        <v>50</v>
      </c>
      <c r="G6" s="15" t="s">
        <v>14</v>
      </c>
      <c r="H6" s="16">
        <v>2521</v>
      </c>
    </row>
    <row r="7" spans="1:10" ht="18" x14ac:dyDescent="0.35">
      <c r="A7" s="6">
        <v>45339.631574074076</v>
      </c>
      <c r="B7" s="7" t="s">
        <v>5</v>
      </c>
      <c r="C7" s="7" t="s">
        <v>8</v>
      </c>
      <c r="D7" s="8">
        <v>334</v>
      </c>
      <c r="E7" s="8">
        <v>52</v>
      </c>
    </row>
    <row r="8" spans="1:10" ht="18" x14ac:dyDescent="0.35">
      <c r="A8" s="6">
        <v>45349.157893518517</v>
      </c>
      <c r="B8" s="7" t="s">
        <v>7</v>
      </c>
      <c r="C8" s="7" t="s">
        <v>9</v>
      </c>
      <c r="D8" s="8">
        <v>417</v>
      </c>
      <c r="E8" s="8">
        <v>29</v>
      </c>
    </row>
    <row r="9" spans="1:10" ht="18" x14ac:dyDescent="0.35">
      <c r="A9" s="6">
        <v>45358.684212962966</v>
      </c>
      <c r="B9" s="7" t="s">
        <v>5</v>
      </c>
      <c r="C9" s="7" t="s">
        <v>9</v>
      </c>
      <c r="D9" s="8">
        <v>441</v>
      </c>
      <c r="E9" s="8">
        <v>44</v>
      </c>
    </row>
    <row r="10" spans="1:10" ht="18" x14ac:dyDescent="0.35">
      <c r="A10" s="6">
        <v>45368.210520833331</v>
      </c>
      <c r="B10" s="7" t="s">
        <v>7</v>
      </c>
      <c r="C10" s="7" t="s">
        <v>6</v>
      </c>
      <c r="D10" s="8">
        <v>76</v>
      </c>
      <c r="E10" s="8">
        <v>63</v>
      </c>
    </row>
    <row r="11" spans="1:10" ht="18" x14ac:dyDescent="0.35">
      <c r="A11" s="6">
        <v>45377.736840277779</v>
      </c>
      <c r="B11" s="7" t="s">
        <v>5</v>
      </c>
      <c r="C11" s="7" t="s">
        <v>8</v>
      </c>
      <c r="D11" s="8">
        <v>441</v>
      </c>
      <c r="E11" s="8">
        <v>79</v>
      </c>
    </row>
    <row r="12" spans="1:10" ht="18" x14ac:dyDescent="0.35">
      <c r="A12" s="6">
        <v>45387.263159722221</v>
      </c>
      <c r="B12" s="7" t="s">
        <v>7</v>
      </c>
      <c r="C12" s="7" t="s">
        <v>6</v>
      </c>
      <c r="D12" s="8">
        <v>205</v>
      </c>
      <c r="E12" s="8">
        <v>23</v>
      </c>
    </row>
    <row r="13" spans="1:10" ht="18" x14ac:dyDescent="0.35">
      <c r="A13" s="6">
        <v>45396.789479166669</v>
      </c>
      <c r="B13" s="7" t="s">
        <v>5</v>
      </c>
      <c r="C13" s="7" t="s">
        <v>8</v>
      </c>
      <c r="D13" s="8">
        <v>483</v>
      </c>
      <c r="E13" s="8">
        <v>97</v>
      </c>
    </row>
    <row r="14" spans="1:10" ht="18" x14ac:dyDescent="0.35">
      <c r="A14" s="6">
        <v>45406.315787037034</v>
      </c>
      <c r="B14" s="7" t="s">
        <v>10</v>
      </c>
      <c r="C14" s="7" t="s">
        <v>6</v>
      </c>
      <c r="D14" s="8">
        <v>467</v>
      </c>
      <c r="E14" s="8">
        <v>97</v>
      </c>
    </row>
    <row r="15" spans="1:10" ht="18" x14ac:dyDescent="0.35">
      <c r="A15" s="6">
        <v>45415.842106481483</v>
      </c>
      <c r="B15" s="7" t="s">
        <v>5</v>
      </c>
      <c r="C15" s="7" t="s">
        <v>6</v>
      </c>
      <c r="D15" s="8">
        <v>380</v>
      </c>
      <c r="E15" s="8">
        <v>92</v>
      </c>
    </row>
    <row r="16" spans="1:10" ht="18" x14ac:dyDescent="0.35">
      <c r="A16" s="6">
        <v>45425.368425925924</v>
      </c>
      <c r="B16" s="7" t="s">
        <v>7</v>
      </c>
      <c r="C16" s="7" t="s">
        <v>8</v>
      </c>
      <c r="D16" s="8">
        <v>497</v>
      </c>
      <c r="E16" s="8">
        <v>71</v>
      </c>
    </row>
    <row r="17" spans="1:5" ht="18" x14ac:dyDescent="0.35">
      <c r="A17" s="6">
        <v>45434.894733796296</v>
      </c>
      <c r="B17" s="7" t="s">
        <v>7</v>
      </c>
      <c r="C17" s="7" t="s">
        <v>6</v>
      </c>
      <c r="D17" s="8">
        <v>409</v>
      </c>
      <c r="E17" s="8">
        <v>81</v>
      </c>
    </row>
    <row r="18" spans="1:5" ht="18" x14ac:dyDescent="0.35">
      <c r="A18" s="6">
        <v>45444.421053240738</v>
      </c>
      <c r="B18" s="7" t="s">
        <v>5</v>
      </c>
      <c r="C18" s="7" t="s">
        <v>8</v>
      </c>
      <c r="D18" s="8">
        <v>53</v>
      </c>
      <c r="E18" s="8">
        <v>45</v>
      </c>
    </row>
    <row r="19" spans="1:5" ht="18" x14ac:dyDescent="0.35">
      <c r="A19" s="6">
        <v>45453.947372685187</v>
      </c>
      <c r="B19" s="7" t="s">
        <v>5</v>
      </c>
      <c r="C19" s="7" t="s">
        <v>9</v>
      </c>
      <c r="D19" s="8">
        <v>398</v>
      </c>
      <c r="E19" s="8">
        <v>33</v>
      </c>
    </row>
    <row r="20" spans="1:5" ht="18" x14ac:dyDescent="0.35">
      <c r="A20" s="6">
        <v>45463.473680555559</v>
      </c>
      <c r="B20" s="7" t="s">
        <v>11</v>
      </c>
      <c r="C20" s="7" t="s">
        <v>8</v>
      </c>
      <c r="D20" s="8">
        <v>347</v>
      </c>
      <c r="E20" s="8">
        <v>35</v>
      </c>
    </row>
    <row r="21" spans="1:5" ht="18" x14ac:dyDescent="0.35">
      <c r="A21" s="6">
        <v>45473</v>
      </c>
      <c r="B21" s="7" t="s">
        <v>7</v>
      </c>
      <c r="C21" s="7" t="s">
        <v>9</v>
      </c>
      <c r="D21" s="8">
        <v>319</v>
      </c>
      <c r="E21" s="8">
        <v>45</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4046D5-6073-414B-9E6E-D019B9CA6EEE}">
  <dimension ref="A1:N24"/>
  <sheetViews>
    <sheetView workbookViewId="0">
      <selection activeCell="M9" sqref="M9"/>
    </sheetView>
  </sheetViews>
  <sheetFormatPr defaultRowHeight="14.4" x14ac:dyDescent="0.3"/>
  <cols>
    <col min="1" max="1" width="23.6640625" customWidth="1"/>
    <col min="2" max="2" width="8.33203125" bestFit="1" customWidth="1"/>
    <col min="3" max="3" width="10.5546875" bestFit="1" customWidth="1"/>
    <col min="4" max="4" width="6.44140625" bestFit="1" customWidth="1"/>
    <col min="5" max="5" width="10.33203125" bestFit="1" customWidth="1"/>
    <col min="7" max="7" width="15.109375" bestFit="1" customWidth="1"/>
    <col min="8" max="8" width="14.44140625" bestFit="1" customWidth="1"/>
    <col min="9" max="9" width="9" customWidth="1"/>
    <col min="12" max="12" width="9" customWidth="1"/>
    <col min="13" max="13" width="39.77734375" customWidth="1"/>
    <col min="14" max="14" width="14.44140625" bestFit="1" customWidth="1"/>
  </cols>
  <sheetData>
    <row r="1" spans="1:14" ht="72" x14ac:dyDescent="0.35">
      <c r="A1" s="2" t="s">
        <v>0</v>
      </c>
      <c r="B1" s="1" t="s">
        <v>1</v>
      </c>
      <c r="C1" s="3" t="s">
        <v>2</v>
      </c>
      <c r="D1" s="4" t="s">
        <v>3</v>
      </c>
      <c r="E1" s="13" t="s">
        <v>4</v>
      </c>
      <c r="G1" s="14" t="s">
        <v>13</v>
      </c>
      <c r="H1" s="11" t="s">
        <v>15</v>
      </c>
      <c r="M1" s="21" t="s">
        <v>25</v>
      </c>
    </row>
    <row r="2" spans="1:14" ht="18" x14ac:dyDescent="0.35">
      <c r="A2" s="6">
        <v>45292</v>
      </c>
      <c r="B2" s="7" t="s">
        <v>5</v>
      </c>
      <c r="C2" s="7" t="s">
        <v>6</v>
      </c>
      <c r="D2" s="8">
        <v>456</v>
      </c>
      <c r="E2" s="8">
        <v>93</v>
      </c>
      <c r="G2" s="15" t="s">
        <v>10</v>
      </c>
      <c r="H2" s="16">
        <v>467</v>
      </c>
    </row>
    <row r="3" spans="1:14" ht="18" x14ac:dyDescent="0.35">
      <c r="A3" s="6">
        <v>45301.526319444441</v>
      </c>
      <c r="B3" s="7" t="s">
        <v>7</v>
      </c>
      <c r="C3" s="7" t="s">
        <v>8</v>
      </c>
      <c r="D3" s="8">
        <v>348</v>
      </c>
      <c r="E3" s="8">
        <v>56</v>
      </c>
      <c r="G3" s="15" t="s">
        <v>11</v>
      </c>
      <c r="H3" s="16">
        <v>347</v>
      </c>
    </row>
    <row r="4" spans="1:14" ht="18" x14ac:dyDescent="0.35">
      <c r="A4" s="6">
        <v>45311.052627314813</v>
      </c>
      <c r="B4" s="7" t="s">
        <v>7</v>
      </c>
      <c r="C4" s="7" t="s">
        <v>6</v>
      </c>
      <c r="D4" s="8">
        <v>247</v>
      </c>
      <c r="E4" s="8">
        <v>76</v>
      </c>
      <c r="G4" s="15" t="s">
        <v>7</v>
      </c>
      <c r="H4" s="16">
        <v>2518</v>
      </c>
      <c r="M4" s="14" t="s">
        <v>13</v>
      </c>
      <c r="N4" s="11" t="s">
        <v>15</v>
      </c>
    </row>
    <row r="5" spans="1:14" ht="18" x14ac:dyDescent="0.35">
      <c r="A5" s="6">
        <v>45320.578946759262</v>
      </c>
      <c r="B5" s="7" t="s">
        <v>5</v>
      </c>
      <c r="C5" s="7" t="s">
        <v>9</v>
      </c>
      <c r="D5" s="8">
        <v>230</v>
      </c>
      <c r="E5" s="8">
        <v>37</v>
      </c>
      <c r="G5" s="15" t="s">
        <v>5</v>
      </c>
      <c r="H5" s="16">
        <v>3497</v>
      </c>
      <c r="M5" s="15" t="s">
        <v>9</v>
      </c>
      <c r="N5" s="16">
        <v>1805</v>
      </c>
    </row>
    <row r="6" spans="1:14" ht="18" x14ac:dyDescent="0.35">
      <c r="A6" s="6">
        <v>45330.105266203704</v>
      </c>
      <c r="B6" s="7" t="s">
        <v>5</v>
      </c>
      <c r="C6" s="7" t="s">
        <v>6</v>
      </c>
      <c r="D6" s="8">
        <v>281</v>
      </c>
      <c r="E6" s="8">
        <v>50</v>
      </c>
      <c r="G6" s="15" t="s">
        <v>14</v>
      </c>
      <c r="H6" s="16">
        <v>6829</v>
      </c>
      <c r="M6" s="15" t="s">
        <v>14</v>
      </c>
      <c r="N6" s="16">
        <v>1805</v>
      </c>
    </row>
    <row r="7" spans="1:14" ht="18" x14ac:dyDescent="0.35">
      <c r="A7" s="6">
        <v>45339.631574074076</v>
      </c>
      <c r="B7" s="7" t="s">
        <v>5</v>
      </c>
      <c r="C7" s="7" t="s">
        <v>8</v>
      </c>
      <c r="D7" s="8">
        <v>334</v>
      </c>
      <c r="E7" s="8">
        <v>52</v>
      </c>
    </row>
    <row r="8" spans="1:14" ht="18" x14ac:dyDescent="0.35">
      <c r="A8" s="6">
        <v>45349.157893518517</v>
      </c>
      <c r="B8" s="7" t="s">
        <v>7</v>
      </c>
      <c r="C8" s="7" t="s">
        <v>9</v>
      </c>
      <c r="D8" s="8">
        <v>417</v>
      </c>
      <c r="E8" s="8">
        <v>29</v>
      </c>
    </row>
    <row r="9" spans="1:14" ht="18" x14ac:dyDescent="0.35">
      <c r="A9" s="6">
        <v>45358.684212962966</v>
      </c>
      <c r="B9" s="7" t="s">
        <v>5</v>
      </c>
      <c r="C9" s="7" t="s">
        <v>9</v>
      </c>
      <c r="D9" s="8">
        <v>441</v>
      </c>
      <c r="E9" s="8">
        <v>44</v>
      </c>
    </row>
    <row r="10" spans="1:14" ht="18" x14ac:dyDescent="0.35">
      <c r="A10" s="6">
        <v>45368.210520833331</v>
      </c>
      <c r="B10" s="7" t="s">
        <v>7</v>
      </c>
      <c r="C10" s="7" t="s">
        <v>6</v>
      </c>
      <c r="D10" s="8">
        <v>76</v>
      </c>
      <c r="E10" s="8">
        <v>63</v>
      </c>
    </row>
    <row r="11" spans="1:14" ht="18" x14ac:dyDescent="0.35">
      <c r="A11" s="6">
        <v>45377.736840277779</v>
      </c>
      <c r="B11" s="7" t="s">
        <v>5</v>
      </c>
      <c r="C11" s="7" t="s">
        <v>8</v>
      </c>
      <c r="D11" s="8">
        <v>441</v>
      </c>
      <c r="E11" s="8">
        <v>79</v>
      </c>
    </row>
    <row r="12" spans="1:14" ht="18" x14ac:dyDescent="0.35">
      <c r="A12" s="6">
        <v>45387.263159722221</v>
      </c>
      <c r="B12" s="7" t="s">
        <v>7</v>
      </c>
      <c r="C12" s="7" t="s">
        <v>6</v>
      </c>
      <c r="D12" s="8">
        <v>205</v>
      </c>
      <c r="E12" s="8">
        <v>23</v>
      </c>
    </row>
    <row r="13" spans="1:14" ht="18" x14ac:dyDescent="0.35">
      <c r="A13" s="6">
        <v>45396.789479166669</v>
      </c>
      <c r="B13" s="7" t="s">
        <v>5</v>
      </c>
      <c r="C13" s="7" t="s">
        <v>8</v>
      </c>
      <c r="D13" s="8">
        <v>483</v>
      </c>
      <c r="E13" s="8">
        <v>97</v>
      </c>
    </row>
    <row r="14" spans="1:14" ht="18" x14ac:dyDescent="0.35">
      <c r="A14" s="6">
        <v>45406.315787037034</v>
      </c>
      <c r="B14" s="7" t="s">
        <v>10</v>
      </c>
      <c r="C14" s="7" t="s">
        <v>6</v>
      </c>
      <c r="D14" s="8">
        <v>467</v>
      </c>
      <c r="E14" s="8">
        <v>97</v>
      </c>
    </row>
    <row r="15" spans="1:14" ht="18" x14ac:dyDescent="0.35">
      <c r="A15" s="6">
        <v>45415.842106481483</v>
      </c>
      <c r="B15" s="7" t="s">
        <v>5</v>
      </c>
      <c r="C15" s="7" t="s">
        <v>6</v>
      </c>
      <c r="D15" s="8">
        <v>380</v>
      </c>
      <c r="E15" s="8">
        <v>92</v>
      </c>
    </row>
    <row r="16" spans="1:14" ht="18" x14ac:dyDescent="0.35">
      <c r="A16" s="6">
        <v>45425.368425925924</v>
      </c>
      <c r="B16" s="7" t="s">
        <v>7</v>
      </c>
      <c r="C16" s="7" t="s">
        <v>8</v>
      </c>
      <c r="D16" s="8">
        <v>497</v>
      </c>
      <c r="E16" s="8">
        <v>71</v>
      </c>
    </row>
    <row r="17" spans="1:14" ht="18" x14ac:dyDescent="0.35">
      <c r="A17" s="6">
        <v>45434.894733796296</v>
      </c>
      <c r="B17" s="7" t="s">
        <v>7</v>
      </c>
      <c r="C17" s="7" t="s">
        <v>6</v>
      </c>
      <c r="D17" s="8">
        <v>409</v>
      </c>
      <c r="E17" s="8">
        <v>81</v>
      </c>
      <c r="M17" s="14" t="s">
        <v>13</v>
      </c>
      <c r="N17" s="11" t="s">
        <v>15</v>
      </c>
    </row>
    <row r="18" spans="1:14" ht="18" x14ac:dyDescent="0.35">
      <c r="A18" s="6">
        <v>45444.421053240738</v>
      </c>
      <c r="B18" s="7" t="s">
        <v>5</v>
      </c>
      <c r="C18" s="7" t="s">
        <v>8</v>
      </c>
      <c r="D18" s="8">
        <v>53</v>
      </c>
      <c r="E18" s="8">
        <v>45</v>
      </c>
      <c r="M18" s="15" t="s">
        <v>17</v>
      </c>
      <c r="N18" s="16">
        <v>1281</v>
      </c>
    </row>
    <row r="19" spans="1:14" ht="18" x14ac:dyDescent="0.35">
      <c r="A19" s="6">
        <v>45453.947372685187</v>
      </c>
      <c r="B19" s="7" t="s">
        <v>5</v>
      </c>
      <c r="C19" s="7" t="s">
        <v>9</v>
      </c>
      <c r="D19" s="8">
        <v>398</v>
      </c>
      <c r="E19" s="8">
        <v>33</v>
      </c>
      <c r="M19" s="15" t="s">
        <v>18</v>
      </c>
      <c r="N19" s="16">
        <v>1032</v>
      </c>
    </row>
    <row r="20" spans="1:14" ht="18" x14ac:dyDescent="0.35">
      <c r="A20" s="6">
        <v>45463.473680555559</v>
      </c>
      <c r="B20" s="7" t="s">
        <v>11</v>
      </c>
      <c r="C20" s="7" t="s">
        <v>8</v>
      </c>
      <c r="D20" s="8">
        <v>347</v>
      </c>
      <c r="E20" s="8">
        <v>35</v>
      </c>
      <c r="M20" s="15" t="s">
        <v>19</v>
      </c>
      <c r="N20" s="16">
        <v>958</v>
      </c>
    </row>
    <row r="21" spans="1:14" ht="18" x14ac:dyDescent="0.35">
      <c r="A21" s="6">
        <v>45473</v>
      </c>
      <c r="B21" s="7" t="s">
        <v>7</v>
      </c>
      <c r="C21" s="7" t="s">
        <v>9</v>
      </c>
      <c r="D21" s="8">
        <v>319</v>
      </c>
      <c r="E21" s="8">
        <v>45</v>
      </c>
      <c r="M21" s="15" t="s">
        <v>20</v>
      </c>
      <c r="N21" s="16">
        <v>1155</v>
      </c>
    </row>
    <row r="22" spans="1:14" ht="18" x14ac:dyDescent="0.35">
      <c r="M22" s="15" t="s">
        <v>21</v>
      </c>
      <c r="N22" s="16">
        <v>1286</v>
      </c>
    </row>
    <row r="23" spans="1:14" ht="18" x14ac:dyDescent="0.35">
      <c r="M23" s="15" t="s">
        <v>22</v>
      </c>
      <c r="N23" s="16">
        <v>1117</v>
      </c>
    </row>
    <row r="24" spans="1:14" ht="18" x14ac:dyDescent="0.35">
      <c r="M24" s="15" t="s">
        <v>14</v>
      </c>
      <c r="N24" s="16">
        <v>6829</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CFF2F1-8019-46A6-94E5-5351CCFEB15A}">
  <dimension ref="A1:E14"/>
  <sheetViews>
    <sheetView workbookViewId="0">
      <selection activeCell="C6" sqref="C6"/>
    </sheetView>
  </sheetViews>
  <sheetFormatPr defaultRowHeight="14.4" x14ac:dyDescent="0.3"/>
  <cols>
    <col min="1" max="1" width="15.109375" bestFit="1" customWidth="1"/>
    <col min="2" max="2" width="18.6640625" bestFit="1" customWidth="1"/>
    <col min="5" max="5" width="98.21875" bestFit="1" customWidth="1"/>
  </cols>
  <sheetData>
    <row r="1" spans="1:5" ht="18" x14ac:dyDescent="0.35">
      <c r="E1" s="12" t="s">
        <v>27</v>
      </c>
    </row>
    <row r="3" spans="1:5" ht="18" x14ac:dyDescent="0.35">
      <c r="A3" s="17" t="s">
        <v>13</v>
      </c>
      <c r="B3" s="18" t="s">
        <v>26</v>
      </c>
    </row>
    <row r="4" spans="1:5" ht="18" x14ac:dyDescent="0.35">
      <c r="A4" s="19" t="s">
        <v>17</v>
      </c>
      <c r="B4" s="20">
        <v>320.25</v>
      </c>
    </row>
    <row r="5" spans="1:5" ht="18" x14ac:dyDescent="0.35">
      <c r="A5" s="19" t="s">
        <v>18</v>
      </c>
      <c r="B5" s="20">
        <v>344</v>
      </c>
    </row>
    <row r="6" spans="1:5" ht="18" x14ac:dyDescent="0.35">
      <c r="A6" s="19" t="s">
        <v>19</v>
      </c>
      <c r="B6" s="20">
        <v>319.33333333333331</v>
      </c>
    </row>
    <row r="7" spans="1:5" ht="18" x14ac:dyDescent="0.35">
      <c r="A7" s="19" t="s">
        <v>20</v>
      </c>
      <c r="B7" s="20">
        <v>385</v>
      </c>
    </row>
    <row r="8" spans="1:5" ht="18" x14ac:dyDescent="0.35">
      <c r="A8" s="19" t="s">
        <v>21</v>
      </c>
      <c r="B8" s="20">
        <v>428.66666666666669</v>
      </c>
    </row>
    <row r="9" spans="1:5" ht="18" x14ac:dyDescent="0.35">
      <c r="A9" s="19" t="s">
        <v>22</v>
      </c>
      <c r="B9" s="20">
        <v>279.25</v>
      </c>
    </row>
    <row r="10" spans="1:5" ht="18" x14ac:dyDescent="0.35">
      <c r="A10" s="19" t="s">
        <v>14</v>
      </c>
      <c r="B10" s="20">
        <v>341.45</v>
      </c>
    </row>
    <row r="11" spans="1:5" ht="18" x14ac:dyDescent="0.35"/>
    <row r="12" spans="1:5" ht="18" x14ac:dyDescent="0.35"/>
    <row r="13" spans="1:5" ht="18" x14ac:dyDescent="0.35"/>
    <row r="14" spans="1:5" ht="18" x14ac:dyDescent="0.35"/>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B52B5F-71AC-4DAE-962D-8850A31219CD}">
  <dimension ref="A1:E9"/>
  <sheetViews>
    <sheetView tabSelected="1" workbookViewId="0">
      <selection activeCell="E1" sqref="E1"/>
    </sheetView>
  </sheetViews>
  <sheetFormatPr defaultRowHeight="14.4" x14ac:dyDescent="0.3"/>
  <cols>
    <col min="1" max="1" width="15.109375" bestFit="1" customWidth="1"/>
    <col min="2" max="2" width="14.44140625" bestFit="1" customWidth="1"/>
    <col min="5" max="5" width="116" bestFit="1" customWidth="1"/>
  </cols>
  <sheetData>
    <row r="1" spans="1:5" ht="18" x14ac:dyDescent="0.35">
      <c r="E1" s="12" t="s">
        <v>29</v>
      </c>
    </row>
    <row r="3" spans="1:5" ht="18" x14ac:dyDescent="0.35">
      <c r="A3" s="14" t="s">
        <v>13</v>
      </c>
      <c r="B3" s="11" t="s">
        <v>15</v>
      </c>
    </row>
    <row r="4" spans="1:5" ht="18" x14ac:dyDescent="0.35">
      <c r="A4" s="15" t="s">
        <v>6</v>
      </c>
      <c r="B4" s="16">
        <v>2521</v>
      </c>
    </row>
    <row r="5" spans="1:5" ht="18" x14ac:dyDescent="0.35">
      <c r="A5" s="15" t="s">
        <v>28</v>
      </c>
      <c r="B5" s="16">
        <v>4308</v>
      </c>
    </row>
    <row r="6" spans="1:5" ht="18" x14ac:dyDescent="0.35">
      <c r="A6" s="15" t="s">
        <v>14</v>
      </c>
      <c r="B6" s="16">
        <v>6829</v>
      </c>
    </row>
    <row r="7" spans="1:5" ht="18" x14ac:dyDescent="0.35"/>
    <row r="8" spans="1:5" ht="18" x14ac:dyDescent="0.35"/>
    <row r="9" spans="1:5" ht="18" x14ac:dyDescent="0.3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Data</vt:lpstr>
      <vt:lpstr>SOL 2</vt:lpstr>
      <vt:lpstr>SOL 3</vt:lpstr>
      <vt:lpstr>SOL 5</vt:lpstr>
      <vt:lpstr>SOL 6</vt:lpstr>
      <vt:lpstr>SOL 8</vt:lpstr>
      <vt:lpstr>SOL 9</vt:lpstr>
      <vt:lpstr>SOL 10</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PRARABDH SRIVASTAVA</dc:creator>
  <cp:lastModifiedBy>PRARABDH SRIVASTAVA</cp:lastModifiedBy>
  <dcterms:created xsi:type="dcterms:W3CDTF">2026-01-19T08:50:31Z</dcterms:created>
  <dcterms:modified xsi:type="dcterms:W3CDTF">2026-01-19T11:10:30Z</dcterms:modified>
</cp:coreProperties>
</file>